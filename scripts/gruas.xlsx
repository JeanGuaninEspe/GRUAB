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286\Desktop\"/>
    </mc:Choice>
  </mc:AlternateContent>
  <xr:revisionPtr revIDLastSave="0" documentId="13_ncr:1_{EE433AFA-8C50-49A6-A05D-EA8A215DC1AE}" xr6:coauthVersionLast="47" xr6:coauthVersionMax="47" xr10:uidLastSave="{00000000-0000-0000-0000-000000000000}"/>
  <bookViews>
    <workbookView xWindow="20370" yWindow="-120" windowWidth="29040" windowHeight="15720" xr2:uid="{42A87B36-0B5E-4BFA-A67C-D30DE70EE9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4" i="1" l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</calcChain>
</file>

<file path=xl/sharedStrings.xml><?xml version="1.0" encoding="utf-8"?>
<sst xmlns="http://schemas.openxmlformats.org/spreadsheetml/2006/main" count="677" uniqueCount="260">
  <si>
    <t>Fecha:</t>
  </si>
  <si>
    <t>Hora 
Llamada:</t>
  </si>
  <si>
    <t>Secretaria/
Supervisor:</t>
  </si>
  <si>
    <t>Turno:</t>
  </si>
  <si>
    <t>Nombre usuario
reporta:</t>
  </si>
  <si>
    <t>Motivo atención</t>
  </si>
  <si>
    <t>Sector:</t>
  </si>
  <si>
    <t>Km:</t>
  </si>
  <si>
    <t>Sentido:</t>
  </si>
  <si>
    <t>Placa:</t>
  </si>
  <si>
    <t>Tipo 
Vehículo:</t>
  </si>
  <si>
    <t># Usuarios
atendidos:</t>
  </si>
  <si>
    <t>Grúa:</t>
  </si>
  <si>
    <t>Pequeña:</t>
  </si>
  <si>
    <t>Grande:</t>
  </si>
  <si>
    <t>Clase de Accidente:</t>
  </si>
  <si>
    <t>Leve:</t>
  </si>
  <si>
    <t>Grave:</t>
  </si>
  <si>
    <t>Fatal:</t>
  </si>
  <si>
    <t>Chofer:</t>
  </si>
  <si>
    <t>Hora 
de arribo:</t>
  </si>
  <si>
    <t>Hora terminada:</t>
  </si>
  <si>
    <t>Hora de
 regreso:</t>
  </si>
  <si>
    <t>Formulario Registro:</t>
  </si>
  <si>
    <t>Observación:</t>
  </si>
  <si>
    <t xml:space="preserve">Tipo de Accidente </t>
  </si>
  <si>
    <t>Posible Causa</t>
  </si>
  <si>
    <t>Km de salida</t>
  </si>
  <si>
    <t>Km de llegada</t>
  </si>
  <si>
    <t>REPORTE FATAL REPORTADO AL MTOP</t>
  </si>
  <si>
    <t>KM RECORRIDO</t>
  </si>
  <si>
    <t>Horas de Servicio</t>
  </si>
  <si>
    <t>ANDRE MORENO</t>
  </si>
  <si>
    <t>SANDRO NOGALES</t>
  </si>
  <si>
    <t>DAÑO MECANICO(GRUA PEQUEÑA)</t>
  </si>
  <si>
    <t xml:space="preserve">ENTRADA PUERTO LIMON </t>
  </si>
  <si>
    <t>262+000</t>
  </si>
  <si>
    <t>ASCENDENTE</t>
  </si>
  <si>
    <t>PSW-5454</t>
  </si>
  <si>
    <t>AUTO</t>
  </si>
  <si>
    <t>PEQUEÑA</t>
  </si>
  <si>
    <t>LEVE</t>
  </si>
  <si>
    <t>JOSE PILICITA</t>
  </si>
  <si>
    <t>00-6000</t>
  </si>
  <si>
    <t>SE TRASLADA DESDE EL KM 262+000 HASTA EL KM 250+000</t>
  </si>
  <si>
    <t>Otros</t>
  </si>
  <si>
    <t>Falla Mecánica</t>
  </si>
  <si>
    <t>JORDAN SUAMITA</t>
  </si>
  <si>
    <t xml:space="preserve">PARADERO ¨"RUTA DEL CONDUCTOR" </t>
  </si>
  <si>
    <t>243+000</t>
  </si>
  <si>
    <t>JBA-6950</t>
  </si>
  <si>
    <t>00-5999</t>
  </si>
  <si>
    <t>SE TRASLADA DESDE EL KM 243+000 HASTA EL KM 246+000</t>
  </si>
  <si>
    <t>WILY MARTINEZ</t>
  </si>
  <si>
    <t>DAÑO MECANICO(GRUA GRANDE)</t>
  </si>
  <si>
    <t xml:space="preserve">SALIDA PATRICIA PILAR </t>
  </si>
  <si>
    <t>223+000</t>
  </si>
  <si>
    <t>UCA-0224</t>
  </si>
  <si>
    <t>CAMION</t>
  </si>
  <si>
    <t>GRANDE</t>
  </si>
  <si>
    <t>JUAN CAIZA</t>
  </si>
  <si>
    <t>00-2184</t>
  </si>
  <si>
    <t>SE TRASLADA DESDE EL KM 223+000 HASTA EL KM 264+000</t>
  </si>
  <si>
    <t>JUAN MOLINA</t>
  </si>
  <si>
    <t>HUERTO EL PRADO</t>
  </si>
  <si>
    <t>247+000</t>
  </si>
  <si>
    <t>PDO-5655</t>
  </si>
  <si>
    <t>CAMIONETA</t>
  </si>
  <si>
    <t>00-5998</t>
  </si>
  <si>
    <t>SE TRASLADA DESDE EL KM 247+000 HASTA EL KM 263+000</t>
  </si>
  <si>
    <t>GONZALO CRUZ</t>
  </si>
  <si>
    <t xml:space="preserve">CURVA PELIGROSA </t>
  </si>
  <si>
    <t>248+000</t>
  </si>
  <si>
    <t>MBA-6196</t>
  </si>
  <si>
    <t>FURGONETA</t>
  </si>
  <si>
    <t>00-5997</t>
  </si>
  <si>
    <t>SE TRASLADA DESDE EL KM 248+000 HASTA EL KM 263+000</t>
  </si>
  <si>
    <t>PABLO ESTRADA</t>
  </si>
  <si>
    <t>JHONATAN AULES</t>
  </si>
  <si>
    <t>CLAVE 8: ATENCION SUSPENDIDA - RETORNO A LA BASE(GRUA GRANDE)</t>
  </si>
  <si>
    <t xml:space="preserve">MECANICA INDUSTRIAL </t>
  </si>
  <si>
    <t>232+000</t>
  </si>
  <si>
    <t>DESCENDENTE</t>
  </si>
  <si>
    <t>HBD-5965</t>
  </si>
  <si>
    <t>00-2183</t>
  </si>
  <si>
    <t>CLAVE 8-RETORNO A BASE</t>
  </si>
  <si>
    <t>EMILIA CORDOVA</t>
  </si>
  <si>
    <t xml:space="preserve">HACIENDA MARIA CECILIA </t>
  </si>
  <si>
    <t>233+000</t>
  </si>
  <si>
    <t>IBB-4136</t>
  </si>
  <si>
    <t>00-5996</t>
  </si>
  <si>
    <t>SE TRASLADA DESDE EL KM 233+000 HASTA EL KM 264+000</t>
  </si>
  <si>
    <t>ITALO YUGSI</t>
  </si>
  <si>
    <t xml:space="preserve">GASOLINERA JAMAJAY </t>
  </si>
  <si>
    <t>265+000</t>
  </si>
  <si>
    <t>PAB-5872</t>
  </si>
  <si>
    <t>00-2182</t>
  </si>
  <si>
    <t>SE TRASLADA DESDE EL KM 265+000 HASTA EL KM 263+000</t>
  </si>
  <si>
    <t>ANGEL MOREJON</t>
  </si>
  <si>
    <t>XAA-1221</t>
  </si>
  <si>
    <t>CABEZAL</t>
  </si>
  <si>
    <t>00-2181</t>
  </si>
  <si>
    <t>SE TRASLADA DESDE EL KM 248+000 HASTA EL KM 265+000</t>
  </si>
  <si>
    <t>PATRICIA RIVAS</t>
  </si>
  <si>
    <t xml:space="preserve">REY LECHE </t>
  </si>
  <si>
    <t>228+000</t>
  </si>
  <si>
    <t>PJL-0362</t>
  </si>
  <si>
    <t>00-5995</t>
  </si>
  <si>
    <t>SE TRASLADA DESDE EL KM 228+000 HASTA EL KM 265+000</t>
  </si>
  <si>
    <t>GERMAN CASTELLANO</t>
  </si>
  <si>
    <t xml:space="preserve">PEAJE EL CONGOMA </t>
  </si>
  <si>
    <t>253+000</t>
  </si>
  <si>
    <t>PCJ-7362</t>
  </si>
  <si>
    <t>00-2180</t>
  </si>
  <si>
    <t>SE TRASLADA DESDE EL KM 253+000 HASTA EL KM 261+000</t>
  </si>
  <si>
    <t>EDISON VILLACIS</t>
  </si>
  <si>
    <t>JBA-5612</t>
  </si>
  <si>
    <t>00-5994</t>
  </si>
  <si>
    <t>DANIEL PALACIOS</t>
  </si>
  <si>
    <t xml:space="preserve">LUZ DE AMERICA </t>
  </si>
  <si>
    <t>246+000</t>
  </si>
  <si>
    <t>XBD-0957</t>
  </si>
  <si>
    <t>00-5993</t>
  </si>
  <si>
    <t>SE TRASLADA DESDE EL KM 246+000 HASTA EL KM 264+000</t>
  </si>
  <si>
    <t>LUIS CASTELLANO</t>
  </si>
  <si>
    <t xml:space="preserve">HACIENDA SAN ANGEL </t>
  </si>
  <si>
    <t>238+000</t>
  </si>
  <si>
    <t>PCJ-7962</t>
  </si>
  <si>
    <t>MULA</t>
  </si>
  <si>
    <t>00-2179</t>
  </si>
  <si>
    <t>SE TRASLADA DESDE EL KM 238+000 HASTA EL KM 253+000</t>
  </si>
  <si>
    <t>BOLIVAR URUIARTE</t>
  </si>
  <si>
    <t>224+000</t>
  </si>
  <si>
    <t>PZL-0022</t>
  </si>
  <si>
    <t>00-2178</t>
  </si>
  <si>
    <t>SE TRASLADA DESDE EL KM 224+000 HASTA EL KM 264+000</t>
  </si>
  <si>
    <t>JOSE ROBERTO PILCO</t>
  </si>
  <si>
    <t>AGICOM</t>
  </si>
  <si>
    <t>226+000</t>
  </si>
  <si>
    <t>GLK-3370</t>
  </si>
  <si>
    <t>00-5992</t>
  </si>
  <si>
    <t>SE TRASLADA DESDE EL KM 226+000 HASTA EL KM 264+000</t>
  </si>
  <si>
    <t>JOFFRE BRAVO</t>
  </si>
  <si>
    <t>IBB-6075</t>
  </si>
  <si>
    <t>00-5991</t>
  </si>
  <si>
    <t>SE TRASLADA DESDE EL KM 233+000 HASTA EL KM 265+000</t>
  </si>
  <si>
    <t>NELSON TOAPANTA</t>
  </si>
  <si>
    <t xml:space="preserve">PGJ-0782 </t>
  </si>
  <si>
    <t>00-5990</t>
  </si>
  <si>
    <t>SE TRASLADA DESDE EL KM 233+000 HASTA EL KM 246+000</t>
  </si>
  <si>
    <t>ALEXANDRA RAMIREZ</t>
  </si>
  <si>
    <t>PBU-8355</t>
  </si>
  <si>
    <t>00-5989</t>
  </si>
  <si>
    <t>JEREMY ASTUDILLO</t>
  </si>
  <si>
    <t xml:space="preserve">DIAGONAL AL ESFUERZO </t>
  </si>
  <si>
    <t>249+000</t>
  </si>
  <si>
    <t>PIB-0450</t>
  </si>
  <si>
    <t>JEEP</t>
  </si>
  <si>
    <t>00-5988</t>
  </si>
  <si>
    <t>SE TRASLADA DESDE EL KM 249+000 HASTA EL KM 264+000</t>
  </si>
  <si>
    <t>HUGO MENDOZA</t>
  </si>
  <si>
    <t xml:space="preserve">ENTRADA PATRICIA PILAR </t>
  </si>
  <si>
    <t>225+000</t>
  </si>
  <si>
    <t>GSG-7086</t>
  </si>
  <si>
    <t>00-5987</t>
  </si>
  <si>
    <t>SE TRASLADA DESDE EL KM 225+000 HASTA EL KM 264+000</t>
  </si>
  <si>
    <t>LUIS QUIJIJE</t>
  </si>
  <si>
    <t>PBX-6318</t>
  </si>
  <si>
    <t>00-5986</t>
  </si>
  <si>
    <t>JORGE COCHANCELA</t>
  </si>
  <si>
    <t>JPA-1065</t>
  </si>
  <si>
    <t>00-5985</t>
  </si>
  <si>
    <t>CARLOS HOLGUIN</t>
  </si>
  <si>
    <t>TBC-9544</t>
  </si>
  <si>
    <t>00-5984</t>
  </si>
  <si>
    <t xml:space="preserve">KATHERINE CHALACAN </t>
  </si>
  <si>
    <t>GSS-2753</t>
  </si>
  <si>
    <t>00-5983</t>
  </si>
  <si>
    <t>SE TRASLADA DESDE EL KM 223+000 HASTA EL KM 263+000</t>
  </si>
  <si>
    <t>ALEX ROMERO</t>
  </si>
  <si>
    <t>GSJ-6014</t>
  </si>
  <si>
    <t>00-5982</t>
  </si>
  <si>
    <t>SE TRASLADA DESDE EL KM 246+000 HASTA EL KM 265+000</t>
  </si>
  <si>
    <t>WILMER LIMA</t>
  </si>
  <si>
    <t>PBN-8375</t>
  </si>
  <si>
    <t>FURGON</t>
  </si>
  <si>
    <t>JHONATAN LEMA</t>
  </si>
  <si>
    <t>00+2177</t>
  </si>
  <si>
    <t>NO REQUIERE EL SERVICIO YA QUE LLAMO UNA GRUA PARTICULAR</t>
  </si>
  <si>
    <t>Volcamiento</t>
  </si>
  <si>
    <t>ANGEL FAJARDO</t>
  </si>
  <si>
    <t>GSD-2104</t>
  </si>
  <si>
    <t>DARWIN PACHECO</t>
  </si>
  <si>
    <t>00-5981</t>
  </si>
  <si>
    <t>SE TRASLADA DESDE EL KM 253+000 HASTA EL KM 264+000</t>
  </si>
  <si>
    <t>JEFFERSON DOMINGUEZ</t>
  </si>
  <si>
    <t>PBW-6976</t>
  </si>
  <si>
    <t>00-5980</t>
  </si>
  <si>
    <t>SE TRASLADA DESDE EL KM 223+000 HASTA EL KM 261+000</t>
  </si>
  <si>
    <t>Falla Eléctrica</t>
  </si>
  <si>
    <t>WILMAN CORAL</t>
  </si>
  <si>
    <t>GASOLINERA MASGAS</t>
  </si>
  <si>
    <t>242+000</t>
  </si>
  <si>
    <t>JAA-2821</t>
  </si>
  <si>
    <t>00-2176</t>
  </si>
  <si>
    <t>SE TRASLADA DESDE EL KM 242+000 HASTA EL KM 263+000</t>
  </si>
  <si>
    <t>ANGEL RIVERA</t>
  </si>
  <si>
    <t>PCC-0933</t>
  </si>
  <si>
    <t>00-5979</t>
  </si>
  <si>
    <t>LUIS SANCHEZ</t>
  </si>
  <si>
    <t>PWP-0056</t>
  </si>
  <si>
    <t>00-5978</t>
  </si>
  <si>
    <t>ANGEL BERMEO</t>
  </si>
  <si>
    <t>DIAGONAL ENTRADA AL CONGOMA</t>
  </si>
  <si>
    <t>254+000</t>
  </si>
  <si>
    <t>PFO-8162</t>
  </si>
  <si>
    <t>00-2175</t>
  </si>
  <si>
    <t>SE TRASLADA DESDE EL KM 254+000 HASTA EL KM 258+000</t>
  </si>
  <si>
    <t>Llanta baja</t>
  </si>
  <si>
    <t>ROBINSON ORTEGA</t>
  </si>
  <si>
    <t>PFJ-6272</t>
  </si>
  <si>
    <t>00-5977</t>
  </si>
  <si>
    <t>JAIRO JAYOZA</t>
  </si>
  <si>
    <t xml:space="preserve">CARROCERIA SANTO DOMINGO </t>
  </si>
  <si>
    <t>257+000</t>
  </si>
  <si>
    <t>PAU-0269</t>
  </si>
  <si>
    <t>00-5976</t>
  </si>
  <si>
    <t>SE TRASLADA DESDE EL KM 257+000 HASTA EL KM 264+200</t>
  </si>
  <si>
    <t>ANDRES GARCIA</t>
  </si>
  <si>
    <t>PCN-1563</t>
  </si>
  <si>
    <t>00-5975</t>
  </si>
  <si>
    <t>XANDER ZAMBRANO</t>
  </si>
  <si>
    <t xml:space="preserve">EMPACADORA F.G. ENTERPRISE S.A </t>
  </si>
  <si>
    <t>252+000</t>
  </si>
  <si>
    <t>PVV-0427</t>
  </si>
  <si>
    <t>00-5974</t>
  </si>
  <si>
    <t>SE TRASLADA DESDE EL KM 252+000 HASTA EL KM 263+000</t>
  </si>
  <si>
    <t>JONATHAN TORRES</t>
  </si>
  <si>
    <t>XAH-0070</t>
  </si>
  <si>
    <t>00-5973</t>
  </si>
  <si>
    <t>RUBEN MARTINEZ</t>
  </si>
  <si>
    <t>PBE-4742</t>
  </si>
  <si>
    <t>00-5972</t>
  </si>
  <si>
    <t>SE LE AYUDA PASANDO CORRIENTE</t>
  </si>
  <si>
    <t>TERRY LUCAS</t>
  </si>
  <si>
    <t>GHU-0180</t>
  </si>
  <si>
    <t>00-5971</t>
  </si>
  <si>
    <t>SE TRASLADA DESDE EL KM 232+000 HASTA EL KM 225+000</t>
  </si>
  <si>
    <t>MARCO VARGAS</t>
  </si>
  <si>
    <t>GTI-5952</t>
  </si>
  <si>
    <t>00-5970</t>
  </si>
  <si>
    <t>SE TRASLADA DESDE EL KM 223+000 HASTA EL KM 265+000</t>
  </si>
  <si>
    <t>CÉSAR MERIZALDE</t>
  </si>
  <si>
    <t>PDY-7882</t>
  </si>
  <si>
    <t>00-5969</t>
  </si>
  <si>
    <t>SE TRASLADA DESDE EL KM 253+000 HASTA EL KM 265+000</t>
  </si>
  <si>
    <t>CRISTIAN PILATUÑA</t>
  </si>
  <si>
    <t>PFG-4332</t>
  </si>
  <si>
    <t>00-2174</t>
  </si>
  <si>
    <t>SE TRASLADA DESDE EL KM 225+000 HASTA EL KM 250+500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</si>
</sst>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8" fontId="0" fillId="3" borderId="4" xfId="0" applyNumberFormat="1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0" fontId="4" fillId="4" borderId="2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8045-8732-4380-A8E2-4262A8368C54}">
  <dimension ref="A1:AF44"/>
  <sheetViews>
    <sheetView tabSelected="1" workbookViewId="0">
      <selection sqref="A1:AF44"/>
    </sheetView>
  </sheetViews>
  <sheetFormatPr baseColWidth="10" defaultRowHeight="15" x14ac:dyDescent="0.25"/>
  <sheetData>
    <row r="1" spans="1:32" ht="7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90" x14ac:dyDescent="0.25">
      <c r="A2" s="4">
        <v>46303</v>
      </c>
      <c r="B2" s="5">
        <v>0.91249999999999998</v>
      </c>
      <c r="C2" s="6" t="s">
        <v>32</v>
      </c>
      <c r="D2" s="6">
        <v>3</v>
      </c>
      <c r="E2" s="7" t="s">
        <v>33</v>
      </c>
      <c r="F2" s="8" t="s">
        <v>34</v>
      </c>
      <c r="G2" s="9" t="s">
        <v>35</v>
      </c>
      <c r="H2" s="10" t="s">
        <v>36</v>
      </c>
      <c r="I2" s="6" t="s">
        <v>37</v>
      </c>
      <c r="J2" s="10" t="s">
        <v>38</v>
      </c>
      <c r="K2" s="10" t="s">
        <v>39</v>
      </c>
      <c r="L2" s="6">
        <v>1</v>
      </c>
      <c r="M2" s="6" t="s">
        <v>40</v>
      </c>
      <c r="N2" s="11">
        <v>1</v>
      </c>
      <c r="O2" s="11">
        <v>0</v>
      </c>
      <c r="P2" s="6" t="s">
        <v>41</v>
      </c>
      <c r="Q2" s="11">
        <v>1</v>
      </c>
      <c r="R2" s="11">
        <v>0</v>
      </c>
      <c r="S2" s="11">
        <v>0</v>
      </c>
      <c r="T2" s="12" t="s">
        <v>42</v>
      </c>
      <c r="U2" s="13">
        <v>0.92500000000000004</v>
      </c>
      <c r="V2" s="13">
        <v>0.96666666666666667</v>
      </c>
      <c r="W2" s="13">
        <v>0.97361111111111109</v>
      </c>
      <c r="X2" s="10" t="s">
        <v>43</v>
      </c>
      <c r="Y2" s="7" t="s">
        <v>44</v>
      </c>
      <c r="Z2" s="6" t="s">
        <v>45</v>
      </c>
      <c r="AA2" s="6" t="s">
        <v>46</v>
      </c>
      <c r="AB2" s="7">
        <v>272973</v>
      </c>
      <c r="AC2" s="7">
        <v>272995</v>
      </c>
      <c r="AD2" s="14"/>
      <c r="AE2" s="14"/>
      <c r="AF2" s="15"/>
    </row>
    <row r="3" spans="1:32" ht="90" x14ac:dyDescent="0.25">
      <c r="A3" s="4">
        <v>46303</v>
      </c>
      <c r="B3" s="5">
        <v>0.80763888888888891</v>
      </c>
      <c r="C3" s="6" t="s">
        <v>32</v>
      </c>
      <c r="D3" s="6">
        <v>3</v>
      </c>
      <c r="E3" s="7" t="s">
        <v>47</v>
      </c>
      <c r="F3" s="8" t="s">
        <v>34</v>
      </c>
      <c r="G3" s="9" t="s">
        <v>48</v>
      </c>
      <c r="H3" s="10" t="s">
        <v>49</v>
      </c>
      <c r="I3" s="6" t="s">
        <v>37</v>
      </c>
      <c r="J3" s="10" t="s">
        <v>50</v>
      </c>
      <c r="K3" s="10" t="s">
        <v>39</v>
      </c>
      <c r="L3" s="6">
        <v>1</v>
      </c>
      <c r="M3" s="6" t="s">
        <v>40</v>
      </c>
      <c r="N3" s="16">
        <v>1</v>
      </c>
      <c r="O3" s="16">
        <v>0</v>
      </c>
      <c r="P3" s="6" t="s">
        <v>41</v>
      </c>
      <c r="Q3" s="16">
        <v>1</v>
      </c>
      <c r="R3" s="16">
        <v>0</v>
      </c>
      <c r="S3" s="16">
        <v>0</v>
      </c>
      <c r="T3" s="12" t="s">
        <v>42</v>
      </c>
      <c r="U3" s="13">
        <v>0.8256944444444444</v>
      </c>
      <c r="V3" s="13">
        <v>0.84375</v>
      </c>
      <c r="W3" s="13">
        <v>0.87083333333333335</v>
      </c>
      <c r="X3" s="10" t="s">
        <v>51</v>
      </c>
      <c r="Y3" s="7" t="s">
        <v>52</v>
      </c>
      <c r="Z3" s="6" t="s">
        <v>45</v>
      </c>
      <c r="AA3" s="6" t="s">
        <v>46</v>
      </c>
      <c r="AB3" s="7">
        <v>272953</v>
      </c>
      <c r="AC3" s="7">
        <v>272973</v>
      </c>
      <c r="AD3" s="17"/>
      <c r="AE3" s="17"/>
      <c r="AF3" s="18"/>
    </row>
    <row r="4" spans="1:32" ht="90" x14ac:dyDescent="0.25">
      <c r="A4" s="4">
        <v>46303</v>
      </c>
      <c r="B4" s="5">
        <v>0.74930555555555556</v>
      </c>
      <c r="C4" s="6" t="s">
        <v>32</v>
      </c>
      <c r="D4" s="6">
        <v>3</v>
      </c>
      <c r="E4" s="7" t="s">
        <v>53</v>
      </c>
      <c r="F4" s="8" t="s">
        <v>54</v>
      </c>
      <c r="G4" s="9" t="s">
        <v>55</v>
      </c>
      <c r="H4" s="10" t="s">
        <v>56</v>
      </c>
      <c r="I4" s="6" t="s">
        <v>37</v>
      </c>
      <c r="J4" s="10" t="s">
        <v>57</v>
      </c>
      <c r="K4" s="10" t="s">
        <v>58</v>
      </c>
      <c r="L4" s="6">
        <v>1</v>
      </c>
      <c r="M4" s="6" t="s">
        <v>59</v>
      </c>
      <c r="N4" s="11">
        <v>0</v>
      </c>
      <c r="O4" s="11">
        <v>1</v>
      </c>
      <c r="P4" s="6" t="s">
        <v>41</v>
      </c>
      <c r="Q4" s="11">
        <v>1</v>
      </c>
      <c r="R4" s="11">
        <v>0</v>
      </c>
      <c r="S4" s="11">
        <v>0</v>
      </c>
      <c r="T4" s="12" t="s">
        <v>60</v>
      </c>
      <c r="U4" s="13">
        <v>0.77638888888888891</v>
      </c>
      <c r="V4" s="13">
        <v>0.84097222222222223</v>
      </c>
      <c r="W4" s="13">
        <v>0.85555555555555551</v>
      </c>
      <c r="X4" s="10" t="s">
        <v>61</v>
      </c>
      <c r="Y4" s="7" t="s">
        <v>62</v>
      </c>
      <c r="Z4" s="6" t="s">
        <v>45</v>
      </c>
      <c r="AA4" s="6" t="s">
        <v>46</v>
      </c>
      <c r="AB4" s="7">
        <v>393698</v>
      </c>
      <c r="AC4" s="7">
        <v>393778</v>
      </c>
      <c r="AD4" s="14"/>
      <c r="AE4" s="14"/>
      <c r="AF4" s="15"/>
    </row>
    <row r="5" spans="1:32" ht="90" x14ac:dyDescent="0.25">
      <c r="A5" s="4">
        <v>46303</v>
      </c>
      <c r="B5" s="5">
        <v>0.62916666666666665</v>
      </c>
      <c r="C5" s="6" t="s">
        <v>32</v>
      </c>
      <c r="D5" s="6">
        <v>2</v>
      </c>
      <c r="E5" s="7" t="s">
        <v>63</v>
      </c>
      <c r="F5" s="8" t="s">
        <v>34</v>
      </c>
      <c r="G5" s="9" t="s">
        <v>64</v>
      </c>
      <c r="H5" s="10" t="s">
        <v>65</v>
      </c>
      <c r="I5" s="6" t="s">
        <v>37</v>
      </c>
      <c r="J5" s="10" t="s">
        <v>66</v>
      </c>
      <c r="K5" s="10" t="s">
        <v>67</v>
      </c>
      <c r="L5" s="6">
        <v>1</v>
      </c>
      <c r="M5" s="6" t="s">
        <v>40</v>
      </c>
      <c r="N5" s="16">
        <v>1</v>
      </c>
      <c r="O5" s="16">
        <v>0</v>
      </c>
      <c r="P5" s="6" t="s">
        <v>41</v>
      </c>
      <c r="Q5" s="16">
        <v>1</v>
      </c>
      <c r="R5" s="16">
        <v>0</v>
      </c>
      <c r="S5" s="16">
        <v>0</v>
      </c>
      <c r="T5" s="12" t="s">
        <v>42</v>
      </c>
      <c r="U5" s="13">
        <v>0.64375000000000004</v>
      </c>
      <c r="V5" s="13">
        <v>0.67638888888888893</v>
      </c>
      <c r="W5" s="13">
        <v>0.68958333333333333</v>
      </c>
      <c r="X5" s="10" t="s">
        <v>68</v>
      </c>
      <c r="Y5" s="7" t="s">
        <v>69</v>
      </c>
      <c r="Z5" s="6" t="s">
        <v>45</v>
      </c>
      <c r="AA5" s="6" t="s">
        <v>46</v>
      </c>
      <c r="AB5" s="7">
        <v>272924</v>
      </c>
      <c r="AC5" s="7">
        <v>272953</v>
      </c>
      <c r="AD5" s="17"/>
      <c r="AE5" s="17">
        <f t="shared" ref="AE5:AE44" si="0">AC5-AB5</f>
        <v>29</v>
      </c>
      <c r="AF5" s="18">
        <f t="shared" ref="AF5:AF43" si="1">W5-U5</f>
        <v>4.5833333333333282E-2</v>
      </c>
    </row>
    <row r="6" spans="1:32" ht="90" x14ac:dyDescent="0.25">
      <c r="A6" s="4">
        <v>46303</v>
      </c>
      <c r="B6" s="5">
        <v>0.57916666666666672</v>
      </c>
      <c r="C6" s="6" t="s">
        <v>32</v>
      </c>
      <c r="D6" s="6">
        <v>2</v>
      </c>
      <c r="E6" s="7" t="s">
        <v>70</v>
      </c>
      <c r="F6" s="8" t="s">
        <v>34</v>
      </c>
      <c r="G6" s="9" t="s">
        <v>71</v>
      </c>
      <c r="H6" s="10" t="s">
        <v>72</v>
      </c>
      <c r="I6" s="6" t="s">
        <v>37</v>
      </c>
      <c r="J6" s="10" t="s">
        <v>73</v>
      </c>
      <c r="K6" s="10" t="s">
        <v>74</v>
      </c>
      <c r="L6" s="6">
        <v>1</v>
      </c>
      <c r="M6" s="6" t="s">
        <v>40</v>
      </c>
      <c r="N6" s="11">
        <v>1</v>
      </c>
      <c r="O6" s="11">
        <v>0</v>
      </c>
      <c r="P6" s="6" t="s">
        <v>41</v>
      </c>
      <c r="Q6" s="11">
        <v>1</v>
      </c>
      <c r="R6" s="11">
        <v>0</v>
      </c>
      <c r="S6" s="11">
        <v>0</v>
      </c>
      <c r="T6" s="12" t="s">
        <v>42</v>
      </c>
      <c r="U6" s="13">
        <v>0.58888888888888891</v>
      </c>
      <c r="V6" s="13">
        <v>0.61597222222222225</v>
      </c>
      <c r="W6" s="13">
        <v>0.625</v>
      </c>
      <c r="X6" s="10" t="s">
        <v>75</v>
      </c>
      <c r="Y6" s="7" t="s">
        <v>76</v>
      </c>
      <c r="Z6" s="6" t="s">
        <v>45</v>
      </c>
      <c r="AA6" s="6" t="s">
        <v>46</v>
      </c>
      <c r="AB6" s="7">
        <v>272901</v>
      </c>
      <c r="AC6" s="7">
        <v>272924</v>
      </c>
      <c r="AD6" s="14"/>
      <c r="AE6" s="14">
        <f t="shared" si="0"/>
        <v>23</v>
      </c>
      <c r="AF6" s="15">
        <f t="shared" si="1"/>
        <v>3.6111111111111094E-2</v>
      </c>
    </row>
    <row r="7" spans="1:32" ht="67.5" x14ac:dyDescent="0.25">
      <c r="A7" s="4">
        <v>46303</v>
      </c>
      <c r="B7" s="5">
        <v>0.49166666666666664</v>
      </c>
      <c r="C7" s="6" t="s">
        <v>77</v>
      </c>
      <c r="D7" s="6">
        <v>2</v>
      </c>
      <c r="E7" s="7" t="s">
        <v>78</v>
      </c>
      <c r="F7" s="8" t="s">
        <v>79</v>
      </c>
      <c r="G7" s="9" t="s">
        <v>80</v>
      </c>
      <c r="H7" s="10" t="s">
        <v>81</v>
      </c>
      <c r="I7" s="6" t="s">
        <v>82</v>
      </c>
      <c r="J7" s="10" t="s">
        <v>83</v>
      </c>
      <c r="K7" s="10" t="s">
        <v>58</v>
      </c>
      <c r="L7" s="6">
        <v>1</v>
      </c>
      <c r="M7" s="6" t="s">
        <v>59</v>
      </c>
      <c r="N7" s="16">
        <v>0</v>
      </c>
      <c r="O7" s="16">
        <v>1</v>
      </c>
      <c r="P7" s="6" t="s">
        <v>41</v>
      </c>
      <c r="Q7" s="16">
        <v>1</v>
      </c>
      <c r="R7" s="16">
        <v>0</v>
      </c>
      <c r="S7" s="16">
        <v>0</v>
      </c>
      <c r="T7" s="12" t="s">
        <v>60</v>
      </c>
      <c r="U7" s="13">
        <v>0.51111111111111107</v>
      </c>
      <c r="V7" s="13">
        <v>0.51388888888888884</v>
      </c>
      <c r="W7" s="13">
        <v>0.54166666666666663</v>
      </c>
      <c r="X7" s="10" t="s">
        <v>84</v>
      </c>
      <c r="Y7" s="7" t="s">
        <v>85</v>
      </c>
      <c r="Z7" s="6" t="s">
        <v>45</v>
      </c>
      <c r="AA7" s="6" t="s">
        <v>46</v>
      </c>
      <c r="AB7" s="7">
        <v>393655</v>
      </c>
      <c r="AC7" s="7">
        <v>393698</v>
      </c>
      <c r="AD7" s="17"/>
      <c r="AE7" s="17">
        <f t="shared" si="0"/>
        <v>43</v>
      </c>
      <c r="AF7" s="18">
        <f t="shared" si="1"/>
        <v>3.0555555555555558E-2</v>
      </c>
    </row>
    <row r="8" spans="1:32" ht="90" x14ac:dyDescent="0.25">
      <c r="A8" s="4">
        <v>46303</v>
      </c>
      <c r="B8" s="5">
        <v>0.48194444444444445</v>
      </c>
      <c r="C8" s="6" t="s">
        <v>77</v>
      </c>
      <c r="D8" s="6">
        <v>2</v>
      </c>
      <c r="E8" s="7" t="s">
        <v>86</v>
      </c>
      <c r="F8" s="8" t="s">
        <v>34</v>
      </c>
      <c r="G8" s="9" t="s">
        <v>87</v>
      </c>
      <c r="H8" s="10" t="s">
        <v>88</v>
      </c>
      <c r="I8" s="6" t="s">
        <v>37</v>
      </c>
      <c r="J8" s="10" t="s">
        <v>89</v>
      </c>
      <c r="K8" s="10" t="s">
        <v>39</v>
      </c>
      <c r="L8" s="6">
        <v>1</v>
      </c>
      <c r="M8" s="6" t="s">
        <v>40</v>
      </c>
      <c r="N8" s="11">
        <v>1</v>
      </c>
      <c r="O8" s="11">
        <v>0</v>
      </c>
      <c r="P8" s="6" t="s">
        <v>41</v>
      </c>
      <c r="Q8" s="11">
        <v>1</v>
      </c>
      <c r="R8" s="11">
        <v>0</v>
      </c>
      <c r="S8" s="11">
        <v>0</v>
      </c>
      <c r="T8" s="12" t="s">
        <v>42</v>
      </c>
      <c r="U8" s="13">
        <v>0.50416666666666665</v>
      </c>
      <c r="V8" s="13">
        <v>0.54791666666666672</v>
      </c>
      <c r="W8" s="13">
        <v>0.56041666666666667</v>
      </c>
      <c r="X8" s="10" t="s">
        <v>90</v>
      </c>
      <c r="Y8" s="7" t="s">
        <v>91</v>
      </c>
      <c r="Z8" s="6" t="s">
        <v>45</v>
      </c>
      <c r="AA8" s="6" t="s">
        <v>46</v>
      </c>
      <c r="AB8" s="7">
        <v>272844</v>
      </c>
      <c r="AC8" s="7">
        <v>272901</v>
      </c>
      <c r="AD8" s="14"/>
      <c r="AE8" s="14">
        <f t="shared" si="0"/>
        <v>57</v>
      </c>
      <c r="AF8" s="15">
        <f t="shared" si="1"/>
        <v>5.6250000000000022E-2</v>
      </c>
    </row>
    <row r="9" spans="1:32" ht="90" x14ac:dyDescent="0.25">
      <c r="A9" s="4">
        <v>46303</v>
      </c>
      <c r="B9" s="5">
        <v>0.4548611111111111</v>
      </c>
      <c r="C9" s="6" t="s">
        <v>77</v>
      </c>
      <c r="D9" s="6">
        <v>2</v>
      </c>
      <c r="E9" s="7" t="s">
        <v>92</v>
      </c>
      <c r="F9" s="8" t="s">
        <v>54</v>
      </c>
      <c r="G9" s="9" t="s">
        <v>93</v>
      </c>
      <c r="H9" s="10" t="s">
        <v>94</v>
      </c>
      <c r="I9" s="6" t="s">
        <v>82</v>
      </c>
      <c r="J9" s="10" t="s">
        <v>95</v>
      </c>
      <c r="K9" s="10" t="s">
        <v>58</v>
      </c>
      <c r="L9" s="6">
        <v>1</v>
      </c>
      <c r="M9" s="6" t="s">
        <v>59</v>
      </c>
      <c r="N9" s="16">
        <v>0</v>
      </c>
      <c r="O9" s="16">
        <v>1</v>
      </c>
      <c r="P9" s="6" t="s">
        <v>41</v>
      </c>
      <c r="Q9" s="16">
        <v>1</v>
      </c>
      <c r="R9" s="16">
        <v>0</v>
      </c>
      <c r="S9" s="16">
        <v>0</v>
      </c>
      <c r="T9" s="12" t="s">
        <v>60</v>
      </c>
      <c r="U9" s="13">
        <v>0.45694444444444443</v>
      </c>
      <c r="V9" s="13">
        <v>0.48055555555555557</v>
      </c>
      <c r="W9" s="13">
        <v>0.4909722222222222</v>
      </c>
      <c r="X9" s="10" t="s">
        <v>96</v>
      </c>
      <c r="Y9" s="7" t="s">
        <v>97</v>
      </c>
      <c r="Z9" s="6" t="s">
        <v>45</v>
      </c>
      <c r="AA9" s="6" t="s">
        <v>46</v>
      </c>
      <c r="AB9" s="7">
        <v>393644</v>
      </c>
      <c r="AC9" s="7">
        <v>393655</v>
      </c>
      <c r="AD9" s="17"/>
      <c r="AE9" s="17">
        <f t="shared" si="0"/>
        <v>11</v>
      </c>
      <c r="AF9" s="18">
        <f t="shared" si="1"/>
        <v>3.4027777777777768E-2</v>
      </c>
    </row>
    <row r="10" spans="1:32" ht="90" x14ac:dyDescent="0.25">
      <c r="A10" s="4">
        <v>46303</v>
      </c>
      <c r="B10" s="5">
        <v>0.41319444444444442</v>
      </c>
      <c r="C10" s="6" t="s">
        <v>77</v>
      </c>
      <c r="D10" s="6">
        <v>2</v>
      </c>
      <c r="E10" s="7" t="s">
        <v>98</v>
      </c>
      <c r="F10" s="8" t="s">
        <v>54</v>
      </c>
      <c r="G10" s="9" t="s">
        <v>71</v>
      </c>
      <c r="H10" s="10" t="s">
        <v>72</v>
      </c>
      <c r="I10" s="6" t="s">
        <v>37</v>
      </c>
      <c r="J10" s="10" t="s">
        <v>99</v>
      </c>
      <c r="K10" s="10" t="s">
        <v>100</v>
      </c>
      <c r="L10" s="6">
        <v>1</v>
      </c>
      <c r="M10" s="6" t="s">
        <v>59</v>
      </c>
      <c r="N10" s="11">
        <v>0</v>
      </c>
      <c r="O10" s="11">
        <v>1</v>
      </c>
      <c r="P10" s="6" t="s">
        <v>41</v>
      </c>
      <c r="Q10" s="11">
        <v>1</v>
      </c>
      <c r="R10" s="11">
        <v>0</v>
      </c>
      <c r="S10" s="11">
        <v>0</v>
      </c>
      <c r="T10" s="12" t="s">
        <v>60</v>
      </c>
      <c r="U10" s="13">
        <v>0.42083333333333334</v>
      </c>
      <c r="V10" s="13">
        <v>0.44722222222222224</v>
      </c>
      <c r="W10" s="13">
        <v>0.4548611111111111</v>
      </c>
      <c r="X10" s="10" t="s">
        <v>101</v>
      </c>
      <c r="Y10" s="7" t="s">
        <v>102</v>
      </c>
      <c r="Z10" s="6" t="s">
        <v>45</v>
      </c>
      <c r="AA10" s="6" t="s">
        <v>46</v>
      </c>
      <c r="AB10" s="7">
        <v>393622</v>
      </c>
      <c r="AC10" s="7">
        <v>393644</v>
      </c>
      <c r="AD10" s="14"/>
      <c r="AE10" s="14">
        <f t="shared" si="0"/>
        <v>22</v>
      </c>
      <c r="AF10" s="15">
        <f t="shared" si="1"/>
        <v>3.4027777777777768E-2</v>
      </c>
    </row>
    <row r="11" spans="1:32" ht="90" x14ac:dyDescent="0.25">
      <c r="A11" s="4">
        <v>46303</v>
      </c>
      <c r="B11" s="5">
        <v>0.38680555555555557</v>
      </c>
      <c r="C11" s="6" t="s">
        <v>77</v>
      </c>
      <c r="D11" s="6">
        <v>2</v>
      </c>
      <c r="E11" s="7" t="s">
        <v>103</v>
      </c>
      <c r="F11" s="8" t="s">
        <v>34</v>
      </c>
      <c r="G11" s="9" t="s">
        <v>104</v>
      </c>
      <c r="H11" s="10" t="s">
        <v>105</v>
      </c>
      <c r="I11" s="6" t="s">
        <v>37</v>
      </c>
      <c r="J11" s="10" t="s">
        <v>106</v>
      </c>
      <c r="K11" s="10" t="s">
        <v>39</v>
      </c>
      <c r="L11" s="6">
        <v>1</v>
      </c>
      <c r="M11" s="6" t="s">
        <v>40</v>
      </c>
      <c r="N11" s="16">
        <v>1</v>
      </c>
      <c r="O11" s="16">
        <v>0</v>
      </c>
      <c r="P11" s="6" t="s">
        <v>41</v>
      </c>
      <c r="Q11" s="16">
        <v>1</v>
      </c>
      <c r="R11" s="16">
        <v>0</v>
      </c>
      <c r="S11" s="16">
        <v>0</v>
      </c>
      <c r="T11" s="12" t="s">
        <v>42</v>
      </c>
      <c r="U11" s="13">
        <v>0.4152777777777778</v>
      </c>
      <c r="V11" s="13">
        <v>0.46666666666666667</v>
      </c>
      <c r="W11" s="13">
        <v>0.47916666666666669</v>
      </c>
      <c r="X11" s="10" t="s">
        <v>107</v>
      </c>
      <c r="Y11" s="7" t="s">
        <v>108</v>
      </c>
      <c r="Z11" s="6" t="s">
        <v>45</v>
      </c>
      <c r="AA11" s="6" t="s">
        <v>46</v>
      </c>
      <c r="AB11" s="7">
        <v>272772</v>
      </c>
      <c r="AC11" s="7">
        <v>272844</v>
      </c>
      <c r="AD11" s="17"/>
      <c r="AE11" s="17">
        <f t="shared" si="0"/>
        <v>72</v>
      </c>
      <c r="AF11" s="18">
        <f t="shared" si="1"/>
        <v>6.3888888888888884E-2</v>
      </c>
    </row>
    <row r="12" spans="1:32" ht="90" x14ac:dyDescent="0.25">
      <c r="A12" s="4">
        <v>46303</v>
      </c>
      <c r="B12" s="5">
        <v>0.2722222222222222</v>
      </c>
      <c r="C12" s="6" t="s">
        <v>77</v>
      </c>
      <c r="D12" s="6">
        <v>1</v>
      </c>
      <c r="E12" s="7" t="s">
        <v>109</v>
      </c>
      <c r="F12" s="8" t="s">
        <v>54</v>
      </c>
      <c r="G12" s="9" t="s">
        <v>110</v>
      </c>
      <c r="H12" s="10" t="s">
        <v>111</v>
      </c>
      <c r="I12" s="6" t="s">
        <v>37</v>
      </c>
      <c r="J12" s="10" t="s">
        <v>112</v>
      </c>
      <c r="K12" s="10" t="s">
        <v>58</v>
      </c>
      <c r="L12" s="6">
        <v>1</v>
      </c>
      <c r="M12" s="6" t="s">
        <v>59</v>
      </c>
      <c r="N12" s="11">
        <v>0</v>
      </c>
      <c r="O12" s="11">
        <v>1</v>
      </c>
      <c r="P12" s="6" t="s">
        <v>41</v>
      </c>
      <c r="Q12" s="11">
        <v>1</v>
      </c>
      <c r="R12" s="11">
        <v>0</v>
      </c>
      <c r="S12" s="11">
        <v>0</v>
      </c>
      <c r="T12" s="12" t="s">
        <v>60</v>
      </c>
      <c r="U12" s="13">
        <v>0.27777777777777779</v>
      </c>
      <c r="V12" s="13">
        <v>0.2951388888888889</v>
      </c>
      <c r="W12" s="13">
        <v>0.30694444444444446</v>
      </c>
      <c r="X12" s="10" t="s">
        <v>113</v>
      </c>
      <c r="Y12" s="7" t="s">
        <v>114</v>
      </c>
      <c r="Z12" s="6" t="s">
        <v>45</v>
      </c>
      <c r="AA12" s="6" t="s">
        <v>46</v>
      </c>
      <c r="AB12" s="7">
        <v>393608</v>
      </c>
      <c r="AC12" s="7">
        <v>393623</v>
      </c>
      <c r="AD12" s="14"/>
      <c r="AE12" s="14">
        <f t="shared" si="0"/>
        <v>15</v>
      </c>
      <c r="AF12" s="15">
        <f t="shared" si="1"/>
        <v>2.9166666666666674E-2</v>
      </c>
    </row>
    <row r="13" spans="1:32" ht="90" x14ac:dyDescent="0.25">
      <c r="A13" s="4">
        <v>46302</v>
      </c>
      <c r="B13" s="5">
        <v>0.94374999999999998</v>
      </c>
      <c r="C13" s="6" t="s">
        <v>32</v>
      </c>
      <c r="D13" s="6">
        <v>3</v>
      </c>
      <c r="E13" s="7" t="s">
        <v>115</v>
      </c>
      <c r="F13" s="8" t="s">
        <v>34</v>
      </c>
      <c r="G13" s="9" t="s">
        <v>55</v>
      </c>
      <c r="H13" s="10" t="s">
        <v>56</v>
      </c>
      <c r="I13" s="6" t="s">
        <v>37</v>
      </c>
      <c r="J13" s="10" t="s">
        <v>116</v>
      </c>
      <c r="K13" s="10" t="s">
        <v>39</v>
      </c>
      <c r="L13" s="6">
        <v>1</v>
      </c>
      <c r="M13" s="6" t="s">
        <v>40</v>
      </c>
      <c r="N13" s="16">
        <v>1</v>
      </c>
      <c r="O13" s="16">
        <v>0</v>
      </c>
      <c r="P13" s="6" t="s">
        <v>41</v>
      </c>
      <c r="Q13" s="16">
        <v>1</v>
      </c>
      <c r="R13" s="16">
        <v>0</v>
      </c>
      <c r="S13" s="16">
        <v>0</v>
      </c>
      <c r="T13" s="12" t="s">
        <v>42</v>
      </c>
      <c r="U13" s="13">
        <v>0.97361111111111109</v>
      </c>
      <c r="V13" s="13">
        <v>1.0409722222222222</v>
      </c>
      <c r="W13" s="13">
        <v>1.0541666666666667</v>
      </c>
      <c r="X13" s="10" t="s">
        <v>117</v>
      </c>
      <c r="Y13" s="7" t="s">
        <v>62</v>
      </c>
      <c r="Z13" s="6" t="s">
        <v>45</v>
      </c>
      <c r="AA13" s="6" t="s">
        <v>46</v>
      </c>
      <c r="AB13" s="7">
        <v>272692</v>
      </c>
      <c r="AC13" s="7">
        <v>272772</v>
      </c>
      <c r="AD13" s="17"/>
      <c r="AE13" s="17">
        <f t="shared" si="0"/>
        <v>80</v>
      </c>
      <c r="AF13" s="18">
        <f t="shared" si="1"/>
        <v>8.0555555555555602E-2</v>
      </c>
    </row>
    <row r="14" spans="1:32" ht="90" x14ac:dyDescent="0.25">
      <c r="A14" s="4">
        <v>46302</v>
      </c>
      <c r="B14" s="5">
        <v>0.85624999999999996</v>
      </c>
      <c r="C14" s="6" t="s">
        <v>32</v>
      </c>
      <c r="D14" s="6">
        <v>3</v>
      </c>
      <c r="E14" s="7" t="s">
        <v>118</v>
      </c>
      <c r="F14" s="8" t="s">
        <v>34</v>
      </c>
      <c r="G14" s="9" t="s">
        <v>119</v>
      </c>
      <c r="H14" s="10" t="s">
        <v>120</v>
      </c>
      <c r="I14" s="6" t="s">
        <v>37</v>
      </c>
      <c r="J14" s="10" t="s">
        <v>121</v>
      </c>
      <c r="K14" s="10" t="s">
        <v>67</v>
      </c>
      <c r="L14" s="6">
        <v>1</v>
      </c>
      <c r="M14" s="6" t="s">
        <v>40</v>
      </c>
      <c r="N14" s="11">
        <v>1</v>
      </c>
      <c r="O14" s="11">
        <v>0</v>
      </c>
      <c r="P14" s="6" t="s">
        <v>41</v>
      </c>
      <c r="Q14" s="11">
        <v>1</v>
      </c>
      <c r="R14" s="11">
        <v>0</v>
      </c>
      <c r="S14" s="11">
        <v>0</v>
      </c>
      <c r="T14" s="12" t="s">
        <v>42</v>
      </c>
      <c r="U14" s="13">
        <v>0.87638888888888888</v>
      </c>
      <c r="V14" s="13">
        <v>0.92013888888888884</v>
      </c>
      <c r="W14" s="13">
        <v>0.9375</v>
      </c>
      <c r="X14" s="10" t="s">
        <v>122</v>
      </c>
      <c r="Y14" s="7" t="s">
        <v>123</v>
      </c>
      <c r="Z14" s="6" t="s">
        <v>45</v>
      </c>
      <c r="AA14" s="6" t="s">
        <v>46</v>
      </c>
      <c r="AB14" s="7">
        <v>272656</v>
      </c>
      <c r="AC14" s="7">
        <v>272692</v>
      </c>
      <c r="AD14" s="14"/>
      <c r="AE14" s="14">
        <f t="shared" si="0"/>
        <v>36</v>
      </c>
      <c r="AF14" s="15">
        <f t="shared" si="1"/>
        <v>6.1111111111111116E-2</v>
      </c>
    </row>
    <row r="15" spans="1:32" ht="90" x14ac:dyDescent="0.25">
      <c r="A15" s="4">
        <v>46302</v>
      </c>
      <c r="B15" s="5">
        <v>0.90833333333333333</v>
      </c>
      <c r="C15" s="6" t="s">
        <v>32</v>
      </c>
      <c r="D15" s="6">
        <v>3</v>
      </c>
      <c r="E15" s="7" t="s">
        <v>124</v>
      </c>
      <c r="F15" s="8" t="s">
        <v>54</v>
      </c>
      <c r="G15" s="9" t="s">
        <v>125</v>
      </c>
      <c r="H15" s="10" t="s">
        <v>126</v>
      </c>
      <c r="I15" s="6" t="s">
        <v>37</v>
      </c>
      <c r="J15" s="10" t="s">
        <v>127</v>
      </c>
      <c r="K15" s="10" t="s">
        <v>128</v>
      </c>
      <c r="L15" s="6">
        <v>1</v>
      </c>
      <c r="M15" s="6" t="s">
        <v>59</v>
      </c>
      <c r="N15" s="16">
        <v>0</v>
      </c>
      <c r="O15" s="16">
        <v>1</v>
      </c>
      <c r="P15" s="6" t="s">
        <v>41</v>
      </c>
      <c r="Q15" s="16">
        <v>1</v>
      </c>
      <c r="R15" s="16">
        <v>0</v>
      </c>
      <c r="S15" s="16">
        <v>0</v>
      </c>
      <c r="T15" s="12" t="s">
        <v>60</v>
      </c>
      <c r="U15" s="13">
        <v>0.92361111111111116</v>
      </c>
      <c r="V15" s="13">
        <v>0.96736111111111112</v>
      </c>
      <c r="W15" s="13">
        <v>0.97013888888888888</v>
      </c>
      <c r="X15" s="10" t="s">
        <v>129</v>
      </c>
      <c r="Y15" s="7" t="s">
        <v>130</v>
      </c>
      <c r="Z15" s="6" t="s">
        <v>45</v>
      </c>
      <c r="AA15" s="6" t="s">
        <v>46</v>
      </c>
      <c r="AB15" s="7">
        <v>393579</v>
      </c>
      <c r="AC15" s="7">
        <v>393608</v>
      </c>
      <c r="AD15" s="17"/>
      <c r="AE15" s="17">
        <f t="shared" si="0"/>
        <v>29</v>
      </c>
      <c r="AF15" s="18">
        <f t="shared" si="1"/>
        <v>4.6527777777777724E-2</v>
      </c>
    </row>
    <row r="16" spans="1:32" ht="90" x14ac:dyDescent="0.25">
      <c r="A16" s="4">
        <v>46302</v>
      </c>
      <c r="B16" s="5">
        <v>0.80555555555555558</v>
      </c>
      <c r="C16" s="6" t="s">
        <v>32</v>
      </c>
      <c r="D16" s="6">
        <v>3</v>
      </c>
      <c r="E16" s="7" t="s">
        <v>131</v>
      </c>
      <c r="F16" s="8" t="s">
        <v>54</v>
      </c>
      <c r="G16" s="9" t="s">
        <v>55</v>
      </c>
      <c r="H16" s="10" t="s">
        <v>132</v>
      </c>
      <c r="I16" s="6" t="s">
        <v>37</v>
      </c>
      <c r="J16" s="10" t="s">
        <v>133</v>
      </c>
      <c r="K16" s="10" t="s">
        <v>128</v>
      </c>
      <c r="L16" s="6">
        <v>1</v>
      </c>
      <c r="M16" s="6" t="s">
        <v>59</v>
      </c>
      <c r="N16" s="11">
        <v>0</v>
      </c>
      <c r="O16" s="11">
        <v>1</v>
      </c>
      <c r="P16" s="6" t="s">
        <v>41</v>
      </c>
      <c r="Q16" s="11">
        <v>1</v>
      </c>
      <c r="R16" s="11">
        <v>0</v>
      </c>
      <c r="S16" s="11">
        <v>0</v>
      </c>
      <c r="T16" s="12" t="s">
        <v>60</v>
      </c>
      <c r="U16" s="13">
        <v>0.83819444444444446</v>
      </c>
      <c r="V16" s="13">
        <v>0.8979166666666667</v>
      </c>
      <c r="W16" s="13">
        <v>0.90763888888888888</v>
      </c>
      <c r="X16" s="10" t="s">
        <v>134</v>
      </c>
      <c r="Y16" s="7" t="s">
        <v>135</v>
      </c>
      <c r="Z16" s="6" t="s">
        <v>45</v>
      </c>
      <c r="AA16" s="6" t="s">
        <v>46</v>
      </c>
      <c r="AB16" s="7">
        <v>393501</v>
      </c>
      <c r="AC16" s="7">
        <v>393579</v>
      </c>
      <c r="AD16" s="14"/>
      <c r="AE16" s="14">
        <f t="shared" si="0"/>
        <v>78</v>
      </c>
      <c r="AF16" s="15">
        <f t="shared" si="1"/>
        <v>6.944444444444442E-2</v>
      </c>
    </row>
    <row r="17" spans="1:32" ht="90" x14ac:dyDescent="0.25">
      <c r="A17" s="4">
        <v>46302</v>
      </c>
      <c r="B17" s="5">
        <v>0.70486111111111116</v>
      </c>
      <c r="C17" s="6" t="s">
        <v>32</v>
      </c>
      <c r="D17" s="6">
        <v>3</v>
      </c>
      <c r="E17" s="7" t="s">
        <v>136</v>
      </c>
      <c r="F17" s="8" t="s">
        <v>34</v>
      </c>
      <c r="G17" s="9" t="s">
        <v>137</v>
      </c>
      <c r="H17" s="10" t="s">
        <v>138</v>
      </c>
      <c r="I17" s="6" t="s">
        <v>37</v>
      </c>
      <c r="J17" s="10" t="s">
        <v>139</v>
      </c>
      <c r="K17" s="10" t="s">
        <v>58</v>
      </c>
      <c r="L17" s="6">
        <v>1</v>
      </c>
      <c r="M17" s="6" t="s">
        <v>40</v>
      </c>
      <c r="N17" s="16">
        <v>1</v>
      </c>
      <c r="O17" s="16">
        <v>0</v>
      </c>
      <c r="P17" s="6" t="s">
        <v>41</v>
      </c>
      <c r="Q17" s="16">
        <v>1</v>
      </c>
      <c r="R17" s="16">
        <v>0</v>
      </c>
      <c r="S17" s="16">
        <v>0</v>
      </c>
      <c r="T17" s="12" t="s">
        <v>42</v>
      </c>
      <c r="U17" s="13">
        <v>0.71805555555555556</v>
      </c>
      <c r="V17" s="13">
        <v>0.77430555555555558</v>
      </c>
      <c r="W17" s="13">
        <v>0.79861111111111116</v>
      </c>
      <c r="X17" s="10" t="s">
        <v>140</v>
      </c>
      <c r="Y17" s="7" t="s">
        <v>141</v>
      </c>
      <c r="Z17" s="6" t="s">
        <v>45</v>
      </c>
      <c r="AA17" s="6" t="s">
        <v>46</v>
      </c>
      <c r="AB17" s="7">
        <v>272598</v>
      </c>
      <c r="AC17" s="7">
        <v>272656</v>
      </c>
      <c r="AD17" s="17"/>
      <c r="AE17" s="17">
        <f t="shared" si="0"/>
        <v>58</v>
      </c>
      <c r="AF17" s="18">
        <f t="shared" si="1"/>
        <v>8.0555555555555602E-2</v>
      </c>
    </row>
    <row r="18" spans="1:32" ht="90" x14ac:dyDescent="0.25">
      <c r="A18" s="4">
        <v>46302</v>
      </c>
      <c r="B18" s="5">
        <v>0.60972222222222228</v>
      </c>
      <c r="C18" s="6" t="s">
        <v>32</v>
      </c>
      <c r="D18" s="6">
        <v>2</v>
      </c>
      <c r="E18" s="7" t="s">
        <v>142</v>
      </c>
      <c r="F18" s="8" t="s">
        <v>34</v>
      </c>
      <c r="G18" s="9" t="s">
        <v>87</v>
      </c>
      <c r="H18" s="10" t="s">
        <v>88</v>
      </c>
      <c r="I18" s="6" t="s">
        <v>37</v>
      </c>
      <c r="J18" s="10" t="s">
        <v>143</v>
      </c>
      <c r="K18" s="10" t="s">
        <v>58</v>
      </c>
      <c r="L18" s="6">
        <v>1</v>
      </c>
      <c r="M18" s="6" t="s">
        <v>40</v>
      </c>
      <c r="N18" s="11">
        <v>1</v>
      </c>
      <c r="O18" s="11">
        <v>0</v>
      </c>
      <c r="P18" s="6" t="s">
        <v>41</v>
      </c>
      <c r="Q18" s="11">
        <v>1</v>
      </c>
      <c r="R18" s="11">
        <v>0</v>
      </c>
      <c r="S18" s="11">
        <v>0</v>
      </c>
      <c r="T18" s="12" t="s">
        <v>42</v>
      </c>
      <c r="U18" s="13">
        <v>0.63194444444444442</v>
      </c>
      <c r="V18" s="13">
        <v>0.68125000000000002</v>
      </c>
      <c r="W18" s="13">
        <v>0.69444444444444442</v>
      </c>
      <c r="X18" s="10" t="s">
        <v>144</v>
      </c>
      <c r="Y18" s="7" t="s">
        <v>145</v>
      </c>
      <c r="Z18" s="6" t="s">
        <v>45</v>
      </c>
      <c r="AA18" s="6" t="s">
        <v>46</v>
      </c>
      <c r="AB18" s="7">
        <v>272539</v>
      </c>
      <c r="AC18" s="7">
        <v>272598</v>
      </c>
      <c r="AD18" s="14"/>
      <c r="AE18" s="14">
        <f t="shared" si="0"/>
        <v>59</v>
      </c>
      <c r="AF18" s="15">
        <f t="shared" si="1"/>
        <v>6.25E-2</v>
      </c>
    </row>
    <row r="19" spans="1:32" ht="90" x14ac:dyDescent="0.25">
      <c r="A19" s="4">
        <v>46302</v>
      </c>
      <c r="B19" s="5">
        <v>0.52083333333333337</v>
      </c>
      <c r="C19" s="6" t="s">
        <v>77</v>
      </c>
      <c r="D19" s="6">
        <v>2</v>
      </c>
      <c r="E19" s="7" t="s">
        <v>146</v>
      </c>
      <c r="F19" s="8" t="s">
        <v>34</v>
      </c>
      <c r="G19" s="9" t="s">
        <v>87</v>
      </c>
      <c r="H19" s="10" t="s">
        <v>88</v>
      </c>
      <c r="I19" s="6" t="s">
        <v>37</v>
      </c>
      <c r="J19" s="10" t="s">
        <v>147</v>
      </c>
      <c r="K19" s="10" t="s">
        <v>67</v>
      </c>
      <c r="L19" s="6">
        <v>1</v>
      </c>
      <c r="M19" s="6" t="s">
        <v>40</v>
      </c>
      <c r="N19" s="16">
        <v>1</v>
      </c>
      <c r="O19" s="16">
        <v>0</v>
      </c>
      <c r="P19" s="6" t="s">
        <v>41</v>
      </c>
      <c r="Q19" s="16">
        <v>1</v>
      </c>
      <c r="R19" s="16">
        <v>0</v>
      </c>
      <c r="S19" s="16">
        <v>0</v>
      </c>
      <c r="T19" s="12" t="s">
        <v>42</v>
      </c>
      <c r="U19" s="13">
        <v>0.53402777777777777</v>
      </c>
      <c r="V19" s="13">
        <v>0.55347222222222225</v>
      </c>
      <c r="W19" s="13">
        <v>0.5708333333333333</v>
      </c>
      <c r="X19" s="10" t="s">
        <v>148</v>
      </c>
      <c r="Y19" s="7" t="s">
        <v>149</v>
      </c>
      <c r="Z19" s="6" t="s">
        <v>45</v>
      </c>
      <c r="AA19" s="6" t="s">
        <v>46</v>
      </c>
      <c r="AB19" s="7">
        <v>272502</v>
      </c>
      <c r="AC19" s="7">
        <v>272539</v>
      </c>
      <c r="AD19" s="17"/>
      <c r="AE19" s="17">
        <f t="shared" si="0"/>
        <v>37</v>
      </c>
      <c r="AF19" s="18">
        <f t="shared" si="1"/>
        <v>3.6805555555555536E-2</v>
      </c>
    </row>
    <row r="20" spans="1:32" ht="90" x14ac:dyDescent="0.25">
      <c r="A20" s="4">
        <v>46302</v>
      </c>
      <c r="B20" s="5">
        <v>0.47361111111111109</v>
      </c>
      <c r="C20" s="6" t="s">
        <v>77</v>
      </c>
      <c r="D20" s="6">
        <v>2</v>
      </c>
      <c r="E20" s="7" t="s">
        <v>150</v>
      </c>
      <c r="F20" s="8" t="s">
        <v>34</v>
      </c>
      <c r="G20" s="9" t="s">
        <v>119</v>
      </c>
      <c r="H20" s="10" t="s">
        <v>120</v>
      </c>
      <c r="I20" s="6" t="s">
        <v>37</v>
      </c>
      <c r="J20" s="10" t="s">
        <v>151</v>
      </c>
      <c r="K20" s="10" t="s">
        <v>74</v>
      </c>
      <c r="L20" s="6">
        <v>1</v>
      </c>
      <c r="M20" s="6" t="s">
        <v>40</v>
      </c>
      <c r="N20" s="11">
        <v>1</v>
      </c>
      <c r="O20" s="11">
        <v>0</v>
      </c>
      <c r="P20" s="6" t="s">
        <v>41</v>
      </c>
      <c r="Q20" s="11">
        <v>1</v>
      </c>
      <c r="R20" s="11">
        <v>0</v>
      </c>
      <c r="S20" s="11">
        <v>0</v>
      </c>
      <c r="T20" s="12" t="s">
        <v>42</v>
      </c>
      <c r="U20" s="13">
        <v>0.48541666666666666</v>
      </c>
      <c r="V20" s="13">
        <v>0.5083333333333333</v>
      </c>
      <c r="W20" s="13">
        <v>0.5180555555555556</v>
      </c>
      <c r="X20" s="10" t="s">
        <v>152</v>
      </c>
      <c r="Y20" s="7" t="s">
        <v>123</v>
      </c>
      <c r="Z20" s="6" t="s">
        <v>45</v>
      </c>
      <c r="AA20" s="6" t="s">
        <v>46</v>
      </c>
      <c r="AB20" s="7">
        <v>272465</v>
      </c>
      <c r="AC20" s="7">
        <v>272502</v>
      </c>
      <c r="AD20" s="14"/>
      <c r="AE20" s="14">
        <f t="shared" si="0"/>
        <v>37</v>
      </c>
      <c r="AF20" s="15">
        <f t="shared" si="1"/>
        <v>3.2638888888888939E-2</v>
      </c>
    </row>
    <row r="21" spans="1:32" ht="90" x14ac:dyDescent="0.25">
      <c r="A21" s="4">
        <v>46302</v>
      </c>
      <c r="B21" s="5">
        <v>0.39097222222222222</v>
      </c>
      <c r="C21" s="6" t="s">
        <v>77</v>
      </c>
      <c r="D21" s="6">
        <v>2</v>
      </c>
      <c r="E21" s="7" t="s">
        <v>153</v>
      </c>
      <c r="F21" s="8" t="s">
        <v>34</v>
      </c>
      <c r="G21" s="9" t="s">
        <v>154</v>
      </c>
      <c r="H21" s="10" t="s">
        <v>155</v>
      </c>
      <c r="I21" s="6" t="s">
        <v>37</v>
      </c>
      <c r="J21" s="10" t="s">
        <v>156</v>
      </c>
      <c r="K21" s="10" t="s">
        <v>157</v>
      </c>
      <c r="L21" s="6">
        <v>1</v>
      </c>
      <c r="M21" s="6" t="s">
        <v>40</v>
      </c>
      <c r="N21" s="16">
        <v>1</v>
      </c>
      <c r="O21" s="16">
        <v>0</v>
      </c>
      <c r="P21" s="6" t="s">
        <v>41</v>
      </c>
      <c r="Q21" s="16">
        <v>1</v>
      </c>
      <c r="R21" s="16">
        <v>0</v>
      </c>
      <c r="S21" s="16">
        <v>0</v>
      </c>
      <c r="T21" s="12" t="s">
        <v>42</v>
      </c>
      <c r="U21" s="13">
        <v>0.39374999999999999</v>
      </c>
      <c r="V21" s="13">
        <v>0.41944444444444445</v>
      </c>
      <c r="W21" s="13">
        <v>0.43125000000000002</v>
      </c>
      <c r="X21" s="10" t="s">
        <v>158</v>
      </c>
      <c r="Y21" s="7" t="s">
        <v>159</v>
      </c>
      <c r="Z21" s="6" t="s">
        <v>45</v>
      </c>
      <c r="AA21" s="6" t="s">
        <v>46</v>
      </c>
      <c r="AB21" s="7">
        <v>272437</v>
      </c>
      <c r="AC21" s="7">
        <v>272465</v>
      </c>
      <c r="AD21" s="17"/>
      <c r="AE21" s="17">
        <f t="shared" si="0"/>
        <v>28</v>
      </c>
      <c r="AF21" s="18">
        <f t="shared" si="1"/>
        <v>3.7500000000000033E-2</v>
      </c>
    </row>
    <row r="22" spans="1:32" ht="90" x14ac:dyDescent="0.25">
      <c r="A22" s="4">
        <v>46302</v>
      </c>
      <c r="B22" s="5">
        <v>0.2986111111111111</v>
      </c>
      <c r="C22" s="6" t="s">
        <v>77</v>
      </c>
      <c r="D22" s="6">
        <v>1</v>
      </c>
      <c r="E22" s="7" t="s">
        <v>160</v>
      </c>
      <c r="F22" s="8" t="s">
        <v>34</v>
      </c>
      <c r="G22" s="9" t="s">
        <v>161</v>
      </c>
      <c r="H22" s="10" t="s">
        <v>162</v>
      </c>
      <c r="I22" s="6" t="s">
        <v>37</v>
      </c>
      <c r="J22" s="10" t="s">
        <v>163</v>
      </c>
      <c r="K22" s="10" t="s">
        <v>157</v>
      </c>
      <c r="L22" s="6">
        <v>1</v>
      </c>
      <c r="M22" s="6" t="s">
        <v>40</v>
      </c>
      <c r="N22" s="11">
        <v>1</v>
      </c>
      <c r="O22" s="11">
        <v>0</v>
      </c>
      <c r="P22" s="6" t="s">
        <v>41</v>
      </c>
      <c r="Q22" s="11">
        <v>1</v>
      </c>
      <c r="R22" s="11">
        <v>0</v>
      </c>
      <c r="S22" s="11">
        <v>0</v>
      </c>
      <c r="T22" s="12" t="s">
        <v>42</v>
      </c>
      <c r="U22" s="13">
        <v>0.32291666666666669</v>
      </c>
      <c r="V22" s="13">
        <v>0.37708333333333333</v>
      </c>
      <c r="W22" s="13">
        <v>0.38819444444444445</v>
      </c>
      <c r="X22" s="10" t="s">
        <v>164</v>
      </c>
      <c r="Y22" s="7" t="s">
        <v>165</v>
      </c>
      <c r="Z22" s="6" t="s">
        <v>45</v>
      </c>
      <c r="AA22" s="6" t="s">
        <v>46</v>
      </c>
      <c r="AB22" s="7">
        <v>272357</v>
      </c>
      <c r="AC22" s="7">
        <v>272437</v>
      </c>
      <c r="AD22" s="14"/>
      <c r="AE22" s="14">
        <f t="shared" si="0"/>
        <v>80</v>
      </c>
      <c r="AF22" s="15">
        <f t="shared" si="1"/>
        <v>6.5277777777777768E-2</v>
      </c>
    </row>
    <row r="23" spans="1:32" ht="90" x14ac:dyDescent="0.25">
      <c r="A23" s="4">
        <v>46301</v>
      </c>
      <c r="B23" s="5">
        <v>0.81736111111111109</v>
      </c>
      <c r="C23" s="6" t="s">
        <v>32</v>
      </c>
      <c r="D23" s="6">
        <v>3</v>
      </c>
      <c r="E23" s="7" t="s">
        <v>166</v>
      </c>
      <c r="F23" s="8" t="s">
        <v>34</v>
      </c>
      <c r="G23" s="9" t="s">
        <v>161</v>
      </c>
      <c r="H23" s="10" t="s">
        <v>162</v>
      </c>
      <c r="I23" s="6" t="s">
        <v>37</v>
      </c>
      <c r="J23" s="10" t="s">
        <v>167</v>
      </c>
      <c r="K23" s="10" t="s">
        <v>67</v>
      </c>
      <c r="L23" s="6">
        <v>1</v>
      </c>
      <c r="M23" s="6" t="s">
        <v>40</v>
      </c>
      <c r="N23" s="16">
        <v>1</v>
      </c>
      <c r="O23" s="16">
        <v>0</v>
      </c>
      <c r="P23" s="6" t="s">
        <v>41</v>
      </c>
      <c r="Q23" s="16">
        <v>1</v>
      </c>
      <c r="R23" s="16">
        <v>0</v>
      </c>
      <c r="S23" s="16">
        <v>0</v>
      </c>
      <c r="T23" s="12" t="s">
        <v>42</v>
      </c>
      <c r="U23" s="13">
        <v>0.84375</v>
      </c>
      <c r="V23" s="13">
        <v>0.8930555555555556</v>
      </c>
      <c r="W23" s="13">
        <v>0.90625</v>
      </c>
      <c r="X23" s="10" t="s">
        <v>168</v>
      </c>
      <c r="Y23" s="7" t="s">
        <v>165</v>
      </c>
      <c r="Z23" s="6" t="s">
        <v>45</v>
      </c>
      <c r="AA23" s="6" t="s">
        <v>46</v>
      </c>
      <c r="AB23" s="7">
        <v>272275</v>
      </c>
      <c r="AC23" s="7">
        <v>272354</v>
      </c>
      <c r="AD23" s="17"/>
      <c r="AE23" s="17">
        <f t="shared" si="0"/>
        <v>79</v>
      </c>
      <c r="AF23" s="18">
        <f t="shared" si="1"/>
        <v>6.25E-2</v>
      </c>
    </row>
    <row r="24" spans="1:32" ht="90" x14ac:dyDescent="0.25">
      <c r="A24" s="4">
        <v>46301</v>
      </c>
      <c r="B24" s="5">
        <v>0.49027777777777776</v>
      </c>
      <c r="C24" s="6" t="s">
        <v>77</v>
      </c>
      <c r="D24" s="6">
        <v>2</v>
      </c>
      <c r="E24" s="7" t="s">
        <v>169</v>
      </c>
      <c r="F24" s="8" t="s">
        <v>34</v>
      </c>
      <c r="G24" s="9" t="s">
        <v>55</v>
      </c>
      <c r="H24" s="10" t="s">
        <v>56</v>
      </c>
      <c r="I24" s="6" t="s">
        <v>37</v>
      </c>
      <c r="J24" s="10" t="s">
        <v>170</v>
      </c>
      <c r="K24" s="10" t="s">
        <v>39</v>
      </c>
      <c r="L24" s="6">
        <v>1</v>
      </c>
      <c r="M24" s="6" t="s">
        <v>40</v>
      </c>
      <c r="N24" s="11">
        <v>1</v>
      </c>
      <c r="O24" s="11">
        <v>0</v>
      </c>
      <c r="P24" s="6" t="s">
        <v>41</v>
      </c>
      <c r="Q24" s="11">
        <v>1</v>
      </c>
      <c r="R24" s="11">
        <v>0</v>
      </c>
      <c r="S24" s="11">
        <v>0</v>
      </c>
      <c r="T24" s="12" t="s">
        <v>42</v>
      </c>
      <c r="U24" s="13">
        <v>0.51875000000000004</v>
      </c>
      <c r="V24" s="13">
        <v>0.56666666666666665</v>
      </c>
      <c r="W24" s="13">
        <v>0.57777777777777772</v>
      </c>
      <c r="X24" s="10" t="s">
        <v>171</v>
      </c>
      <c r="Y24" s="7" t="s">
        <v>62</v>
      </c>
      <c r="Z24" s="6" t="s">
        <v>45</v>
      </c>
      <c r="AA24" s="6" t="s">
        <v>46</v>
      </c>
      <c r="AB24" s="7">
        <v>272195</v>
      </c>
      <c r="AC24" s="7">
        <v>272275</v>
      </c>
      <c r="AD24" s="14"/>
      <c r="AE24" s="14">
        <f t="shared" si="0"/>
        <v>80</v>
      </c>
      <c r="AF24" s="15">
        <f t="shared" si="1"/>
        <v>5.9027777777777679E-2</v>
      </c>
    </row>
    <row r="25" spans="1:32" ht="90" x14ac:dyDescent="0.25">
      <c r="A25" s="4">
        <v>46301</v>
      </c>
      <c r="B25" s="5">
        <v>0.27013888888888887</v>
      </c>
      <c r="C25" s="6" t="s">
        <v>77</v>
      </c>
      <c r="D25" s="6">
        <v>1</v>
      </c>
      <c r="E25" s="7" t="s">
        <v>172</v>
      </c>
      <c r="F25" s="8" t="s">
        <v>34</v>
      </c>
      <c r="G25" s="9" t="s">
        <v>161</v>
      </c>
      <c r="H25" s="10" t="s">
        <v>162</v>
      </c>
      <c r="I25" s="6" t="s">
        <v>37</v>
      </c>
      <c r="J25" s="10" t="s">
        <v>173</v>
      </c>
      <c r="K25" s="10" t="s">
        <v>67</v>
      </c>
      <c r="L25" s="6">
        <v>1</v>
      </c>
      <c r="M25" s="6" t="s">
        <v>40</v>
      </c>
      <c r="N25" s="16">
        <v>1</v>
      </c>
      <c r="O25" s="16">
        <v>0</v>
      </c>
      <c r="P25" s="6" t="s">
        <v>41</v>
      </c>
      <c r="Q25" s="16">
        <v>1</v>
      </c>
      <c r="R25" s="16">
        <v>0</v>
      </c>
      <c r="S25" s="16">
        <v>0</v>
      </c>
      <c r="T25" s="12" t="s">
        <v>42</v>
      </c>
      <c r="U25" s="13">
        <v>0.2951388888888889</v>
      </c>
      <c r="V25" s="13">
        <v>0.34166666666666667</v>
      </c>
      <c r="W25" s="13">
        <v>0.36180555555555555</v>
      </c>
      <c r="X25" s="10" t="s">
        <v>174</v>
      </c>
      <c r="Y25" s="7" t="s">
        <v>165</v>
      </c>
      <c r="Z25" s="6" t="s">
        <v>45</v>
      </c>
      <c r="AA25" s="6" t="s">
        <v>46</v>
      </c>
      <c r="AB25" s="7">
        <v>272117</v>
      </c>
      <c r="AC25" s="7">
        <v>272195</v>
      </c>
      <c r="AD25" s="17"/>
      <c r="AE25" s="17">
        <f t="shared" si="0"/>
        <v>78</v>
      </c>
      <c r="AF25" s="18">
        <f t="shared" si="1"/>
        <v>6.6666666666666652E-2</v>
      </c>
    </row>
    <row r="26" spans="1:32" ht="90" x14ac:dyDescent="0.25">
      <c r="A26" s="4">
        <v>46300</v>
      </c>
      <c r="B26" s="5">
        <v>0.87152777777777779</v>
      </c>
      <c r="C26" s="6" t="s">
        <v>32</v>
      </c>
      <c r="D26" s="6"/>
      <c r="E26" s="7" t="s">
        <v>175</v>
      </c>
      <c r="F26" s="8" t="s">
        <v>34</v>
      </c>
      <c r="G26" s="9" t="s">
        <v>55</v>
      </c>
      <c r="H26" s="10" t="s">
        <v>56</v>
      </c>
      <c r="I26" s="6" t="s">
        <v>37</v>
      </c>
      <c r="J26" s="10" t="s">
        <v>176</v>
      </c>
      <c r="K26" s="10" t="s">
        <v>39</v>
      </c>
      <c r="L26" s="6">
        <v>1</v>
      </c>
      <c r="M26" s="6" t="s">
        <v>40</v>
      </c>
      <c r="N26" s="11">
        <v>1</v>
      </c>
      <c r="O26" s="11">
        <v>0</v>
      </c>
      <c r="P26" s="6" t="s">
        <v>41</v>
      </c>
      <c r="Q26" s="11">
        <v>1</v>
      </c>
      <c r="R26" s="11">
        <v>0</v>
      </c>
      <c r="S26" s="11">
        <v>0</v>
      </c>
      <c r="T26" s="12" t="s">
        <v>42</v>
      </c>
      <c r="U26" s="13">
        <v>0.90625</v>
      </c>
      <c r="V26" s="13">
        <v>0.95625000000000004</v>
      </c>
      <c r="W26" s="13">
        <v>0.96875</v>
      </c>
      <c r="X26" s="10" t="s">
        <v>177</v>
      </c>
      <c r="Y26" s="7" t="s">
        <v>178</v>
      </c>
      <c r="Z26" s="6" t="s">
        <v>45</v>
      </c>
      <c r="AA26" s="6" t="s">
        <v>46</v>
      </c>
      <c r="AB26" s="7">
        <v>272038</v>
      </c>
      <c r="AC26" s="7">
        <v>272117</v>
      </c>
      <c r="AD26" s="14"/>
      <c r="AE26" s="14">
        <f t="shared" si="0"/>
        <v>79</v>
      </c>
      <c r="AF26" s="15">
        <f t="shared" si="1"/>
        <v>6.25E-2</v>
      </c>
    </row>
    <row r="27" spans="1:32" ht="90" x14ac:dyDescent="0.25">
      <c r="A27" s="4">
        <v>46300</v>
      </c>
      <c r="B27" s="5">
        <v>0.69374999999999998</v>
      </c>
      <c r="C27" s="6" t="s">
        <v>77</v>
      </c>
      <c r="D27" s="6">
        <v>3</v>
      </c>
      <c r="E27" s="7" t="s">
        <v>179</v>
      </c>
      <c r="F27" s="8" t="s">
        <v>34</v>
      </c>
      <c r="G27" s="9" t="s">
        <v>119</v>
      </c>
      <c r="H27" s="10" t="s">
        <v>120</v>
      </c>
      <c r="I27" s="6" t="s">
        <v>37</v>
      </c>
      <c r="J27" s="10" t="s">
        <v>180</v>
      </c>
      <c r="K27" s="10" t="s">
        <v>39</v>
      </c>
      <c r="L27" s="6">
        <v>1</v>
      </c>
      <c r="M27" s="6" t="s">
        <v>40</v>
      </c>
      <c r="N27" s="16">
        <v>1</v>
      </c>
      <c r="O27" s="16">
        <v>0</v>
      </c>
      <c r="P27" s="6" t="s">
        <v>41</v>
      </c>
      <c r="Q27" s="16">
        <v>1</v>
      </c>
      <c r="R27" s="16">
        <v>0</v>
      </c>
      <c r="S27" s="16">
        <v>0</v>
      </c>
      <c r="T27" s="12" t="s">
        <v>42</v>
      </c>
      <c r="U27" s="13">
        <v>0.69652777777777775</v>
      </c>
      <c r="V27" s="13">
        <v>0.72430555555555554</v>
      </c>
      <c r="W27" s="13">
        <v>0.74027777777777781</v>
      </c>
      <c r="X27" s="10" t="s">
        <v>181</v>
      </c>
      <c r="Y27" s="7" t="s">
        <v>182</v>
      </c>
      <c r="Z27" s="6" t="s">
        <v>45</v>
      </c>
      <c r="AA27" s="6" t="s">
        <v>46</v>
      </c>
      <c r="AB27" s="7">
        <v>272008</v>
      </c>
      <c r="AC27" s="7">
        <v>272038</v>
      </c>
      <c r="AD27" s="17"/>
      <c r="AE27" s="17">
        <f t="shared" si="0"/>
        <v>30</v>
      </c>
      <c r="AF27" s="18">
        <f t="shared" si="1"/>
        <v>4.3750000000000067E-2</v>
      </c>
    </row>
    <row r="28" spans="1:32" ht="120" x14ac:dyDescent="0.25">
      <c r="A28" s="4">
        <v>46299</v>
      </c>
      <c r="B28" s="5">
        <v>0.90208333333333335</v>
      </c>
      <c r="C28" s="6" t="s">
        <v>32</v>
      </c>
      <c r="D28" s="6">
        <v>3</v>
      </c>
      <c r="E28" s="7" t="s">
        <v>183</v>
      </c>
      <c r="F28" s="8" t="s">
        <v>54</v>
      </c>
      <c r="G28" s="9" t="s">
        <v>71</v>
      </c>
      <c r="H28" s="10" t="s">
        <v>72</v>
      </c>
      <c r="I28" s="6" t="s">
        <v>82</v>
      </c>
      <c r="J28" s="10" t="s">
        <v>184</v>
      </c>
      <c r="K28" s="10" t="s">
        <v>185</v>
      </c>
      <c r="L28" s="6">
        <v>1</v>
      </c>
      <c r="M28" s="6" t="s">
        <v>59</v>
      </c>
      <c r="N28" s="11">
        <v>0</v>
      </c>
      <c r="O28" s="11">
        <v>1</v>
      </c>
      <c r="P28" s="6" t="s">
        <v>41</v>
      </c>
      <c r="Q28" s="11">
        <v>1</v>
      </c>
      <c r="R28" s="11">
        <v>0</v>
      </c>
      <c r="S28" s="11">
        <v>0</v>
      </c>
      <c r="T28" s="12" t="s">
        <v>186</v>
      </c>
      <c r="U28" s="13">
        <v>0.91111111111111109</v>
      </c>
      <c r="V28" s="13">
        <v>0.93680555555555556</v>
      </c>
      <c r="W28" s="13">
        <v>0.94861111111111107</v>
      </c>
      <c r="X28" s="10" t="s">
        <v>187</v>
      </c>
      <c r="Y28" s="7" t="s">
        <v>188</v>
      </c>
      <c r="Z28" s="6" t="s">
        <v>189</v>
      </c>
      <c r="AA28" s="6" t="s">
        <v>46</v>
      </c>
      <c r="AB28" s="7">
        <v>393492</v>
      </c>
      <c r="AC28" s="7">
        <v>393501</v>
      </c>
      <c r="AD28" s="14"/>
      <c r="AE28" s="14">
        <f t="shared" si="0"/>
        <v>9</v>
      </c>
      <c r="AF28" s="15">
        <f t="shared" si="1"/>
        <v>3.7499999999999978E-2</v>
      </c>
    </row>
    <row r="29" spans="1:32" ht="90" x14ac:dyDescent="0.25">
      <c r="A29" s="4">
        <v>46299</v>
      </c>
      <c r="B29" s="5">
        <v>1.16875</v>
      </c>
      <c r="C29" s="6" t="s">
        <v>32</v>
      </c>
      <c r="D29" s="6">
        <v>1</v>
      </c>
      <c r="E29" s="7" t="s">
        <v>190</v>
      </c>
      <c r="F29" s="8" t="s">
        <v>34</v>
      </c>
      <c r="G29" s="9" t="s">
        <v>110</v>
      </c>
      <c r="H29" s="10" t="s">
        <v>111</v>
      </c>
      <c r="I29" s="6" t="s">
        <v>37</v>
      </c>
      <c r="J29" s="10" t="s">
        <v>191</v>
      </c>
      <c r="K29" s="10" t="s">
        <v>39</v>
      </c>
      <c r="L29" s="6">
        <v>1</v>
      </c>
      <c r="M29" s="6" t="s">
        <v>40</v>
      </c>
      <c r="N29" s="16">
        <v>1</v>
      </c>
      <c r="O29" s="16">
        <v>0</v>
      </c>
      <c r="P29" s="6" t="s">
        <v>41</v>
      </c>
      <c r="Q29" s="16">
        <v>1</v>
      </c>
      <c r="R29" s="16">
        <v>0</v>
      </c>
      <c r="S29" s="16">
        <v>0</v>
      </c>
      <c r="T29" s="12" t="s">
        <v>192</v>
      </c>
      <c r="U29" s="13">
        <v>1.1736111111111112</v>
      </c>
      <c r="V29" s="13">
        <v>1.1958333333333333</v>
      </c>
      <c r="W29" s="13">
        <v>1.2076388888888889</v>
      </c>
      <c r="X29" s="10" t="s">
        <v>193</v>
      </c>
      <c r="Y29" s="7" t="s">
        <v>194</v>
      </c>
      <c r="Z29" s="6" t="s">
        <v>45</v>
      </c>
      <c r="AA29" s="6" t="s">
        <v>46</v>
      </c>
      <c r="AB29" s="7">
        <v>271900</v>
      </c>
      <c r="AC29" s="7">
        <v>271922</v>
      </c>
      <c r="AD29" s="17"/>
      <c r="AE29" s="17">
        <f t="shared" si="0"/>
        <v>22</v>
      </c>
      <c r="AF29" s="18">
        <f t="shared" si="1"/>
        <v>3.4027777777777768E-2</v>
      </c>
    </row>
    <row r="30" spans="1:32" ht="90" x14ac:dyDescent="0.25">
      <c r="A30" s="4">
        <v>46298</v>
      </c>
      <c r="B30" s="5">
        <v>0.71111111111111114</v>
      </c>
      <c r="C30" s="6" t="s">
        <v>77</v>
      </c>
      <c r="D30" s="6">
        <v>3</v>
      </c>
      <c r="E30" s="7" t="s">
        <v>195</v>
      </c>
      <c r="F30" s="8" t="s">
        <v>34</v>
      </c>
      <c r="G30" s="9" t="s">
        <v>55</v>
      </c>
      <c r="H30" s="10" t="s">
        <v>56</v>
      </c>
      <c r="I30" s="6" t="s">
        <v>37</v>
      </c>
      <c r="J30" s="10" t="s">
        <v>196</v>
      </c>
      <c r="K30" s="10" t="s">
        <v>39</v>
      </c>
      <c r="L30" s="6">
        <v>1</v>
      </c>
      <c r="M30" s="6" t="s">
        <v>40</v>
      </c>
      <c r="N30" s="11">
        <v>1</v>
      </c>
      <c r="O30" s="11">
        <v>0</v>
      </c>
      <c r="P30" s="6" t="s">
        <v>41</v>
      </c>
      <c r="Q30" s="11">
        <v>1</v>
      </c>
      <c r="R30" s="11">
        <v>0</v>
      </c>
      <c r="S30" s="11">
        <v>0</v>
      </c>
      <c r="T30" s="12" t="s">
        <v>192</v>
      </c>
      <c r="U30" s="13">
        <v>0.74305555555555558</v>
      </c>
      <c r="V30" s="13">
        <v>0.78402777777777777</v>
      </c>
      <c r="W30" s="13">
        <v>0.7993055555555556</v>
      </c>
      <c r="X30" s="10" t="s">
        <v>197</v>
      </c>
      <c r="Y30" s="7" t="s">
        <v>198</v>
      </c>
      <c r="Z30" s="6" t="s">
        <v>45</v>
      </c>
      <c r="AA30" s="6" t="s">
        <v>199</v>
      </c>
      <c r="AB30" s="7">
        <v>271826</v>
      </c>
      <c r="AC30" s="7">
        <v>271900</v>
      </c>
      <c r="AD30" s="14"/>
      <c r="AE30" s="14">
        <f t="shared" si="0"/>
        <v>74</v>
      </c>
      <c r="AF30" s="15">
        <f t="shared" si="1"/>
        <v>5.6250000000000022E-2</v>
      </c>
    </row>
    <row r="31" spans="1:32" ht="90" x14ac:dyDescent="0.25">
      <c r="A31" s="4">
        <v>46298</v>
      </c>
      <c r="B31" s="5">
        <v>0.70972222222222225</v>
      </c>
      <c r="C31" s="6" t="s">
        <v>77</v>
      </c>
      <c r="D31" s="6">
        <v>3</v>
      </c>
      <c r="E31" s="7" t="s">
        <v>200</v>
      </c>
      <c r="F31" s="8" t="s">
        <v>54</v>
      </c>
      <c r="G31" s="9" t="s">
        <v>201</v>
      </c>
      <c r="H31" s="10" t="s">
        <v>202</v>
      </c>
      <c r="I31" s="6" t="s">
        <v>37</v>
      </c>
      <c r="J31" s="10" t="s">
        <v>203</v>
      </c>
      <c r="K31" s="10" t="s">
        <v>185</v>
      </c>
      <c r="L31" s="6">
        <v>1</v>
      </c>
      <c r="M31" s="6" t="s">
        <v>59</v>
      </c>
      <c r="N31" s="16">
        <v>0</v>
      </c>
      <c r="O31" s="16">
        <v>1</v>
      </c>
      <c r="P31" s="6" t="s">
        <v>41</v>
      </c>
      <c r="Q31" s="16">
        <v>1</v>
      </c>
      <c r="R31" s="16">
        <v>0</v>
      </c>
      <c r="S31" s="16">
        <v>0</v>
      </c>
      <c r="T31" s="12" t="s">
        <v>186</v>
      </c>
      <c r="U31" s="13">
        <v>0.72222222222222221</v>
      </c>
      <c r="V31" s="13">
        <v>0.7270833333333333</v>
      </c>
      <c r="W31" s="13">
        <v>0.78125</v>
      </c>
      <c r="X31" s="10" t="s">
        <v>204</v>
      </c>
      <c r="Y31" s="7" t="s">
        <v>205</v>
      </c>
      <c r="Z31" s="6" t="s">
        <v>45</v>
      </c>
      <c r="AA31" s="6" t="s">
        <v>46</v>
      </c>
      <c r="AB31" s="7">
        <v>393449</v>
      </c>
      <c r="AC31" s="7">
        <v>393492</v>
      </c>
      <c r="AD31" s="17"/>
      <c r="AE31" s="17">
        <f t="shared" si="0"/>
        <v>43</v>
      </c>
      <c r="AF31" s="18">
        <f t="shared" si="1"/>
        <v>5.902777777777779E-2</v>
      </c>
    </row>
    <row r="32" spans="1:32" ht="90" x14ac:dyDescent="0.25">
      <c r="A32" s="4">
        <v>46298</v>
      </c>
      <c r="B32" s="5">
        <v>0.46666666666666667</v>
      </c>
      <c r="C32" s="6" t="s">
        <v>77</v>
      </c>
      <c r="D32" s="6">
        <v>2</v>
      </c>
      <c r="E32" s="7" t="s">
        <v>206</v>
      </c>
      <c r="F32" s="8" t="s">
        <v>34</v>
      </c>
      <c r="G32" s="9" t="s">
        <v>119</v>
      </c>
      <c r="H32" s="10" t="s">
        <v>120</v>
      </c>
      <c r="I32" s="6" t="s">
        <v>37</v>
      </c>
      <c r="J32" s="10" t="s">
        <v>207</v>
      </c>
      <c r="K32" s="10" t="s">
        <v>67</v>
      </c>
      <c r="L32" s="6">
        <v>1</v>
      </c>
      <c r="M32" s="6" t="s">
        <v>40</v>
      </c>
      <c r="N32" s="11">
        <v>1</v>
      </c>
      <c r="O32" s="11">
        <v>0</v>
      </c>
      <c r="P32" s="6" t="s">
        <v>41</v>
      </c>
      <c r="Q32" s="11">
        <v>1</v>
      </c>
      <c r="R32" s="11">
        <v>0</v>
      </c>
      <c r="S32" s="11">
        <v>0</v>
      </c>
      <c r="T32" s="12" t="s">
        <v>192</v>
      </c>
      <c r="U32" s="13">
        <v>0.47638888888888886</v>
      </c>
      <c r="V32" s="13">
        <v>0.50277777777777777</v>
      </c>
      <c r="W32" s="13">
        <v>0.51597222222222228</v>
      </c>
      <c r="X32" s="10" t="s">
        <v>208</v>
      </c>
      <c r="Y32" s="7" t="s">
        <v>123</v>
      </c>
      <c r="Z32" s="6" t="s">
        <v>45</v>
      </c>
      <c r="AA32" s="6" t="s">
        <v>46</v>
      </c>
      <c r="AB32" s="7">
        <v>271789</v>
      </c>
      <c r="AC32" s="7">
        <v>271826</v>
      </c>
      <c r="AD32" s="14"/>
      <c r="AE32" s="14">
        <f t="shared" si="0"/>
        <v>37</v>
      </c>
      <c r="AF32" s="15">
        <f t="shared" si="1"/>
        <v>3.9583333333333415E-2</v>
      </c>
    </row>
    <row r="33" spans="1:32" ht="90" x14ac:dyDescent="0.25">
      <c r="A33" s="4">
        <v>46297</v>
      </c>
      <c r="B33" s="5">
        <v>0.73750000000000004</v>
      </c>
      <c r="C33" s="6" t="s">
        <v>32</v>
      </c>
      <c r="D33" s="6">
        <v>3</v>
      </c>
      <c r="E33" s="7" t="s">
        <v>209</v>
      </c>
      <c r="F33" s="8" t="s">
        <v>34</v>
      </c>
      <c r="G33" s="9" t="s">
        <v>55</v>
      </c>
      <c r="H33" s="10" t="s">
        <v>56</v>
      </c>
      <c r="I33" s="6" t="s">
        <v>37</v>
      </c>
      <c r="J33" s="10" t="s">
        <v>210</v>
      </c>
      <c r="K33" s="10" t="s">
        <v>39</v>
      </c>
      <c r="L33" s="6">
        <v>1</v>
      </c>
      <c r="M33" s="6" t="s">
        <v>40</v>
      </c>
      <c r="N33" s="16">
        <v>1</v>
      </c>
      <c r="O33" s="16">
        <v>0</v>
      </c>
      <c r="P33" s="6" t="s">
        <v>41</v>
      </c>
      <c r="Q33" s="16">
        <v>1</v>
      </c>
      <c r="R33" s="16">
        <v>0</v>
      </c>
      <c r="S33" s="16">
        <v>0</v>
      </c>
      <c r="T33" s="12" t="s">
        <v>192</v>
      </c>
      <c r="U33" s="13">
        <v>0.76666666666666672</v>
      </c>
      <c r="V33" s="13">
        <v>0.81041666666666667</v>
      </c>
      <c r="W33" s="13">
        <v>0.82361111111111107</v>
      </c>
      <c r="X33" s="10" t="s">
        <v>211</v>
      </c>
      <c r="Y33" s="7" t="s">
        <v>62</v>
      </c>
      <c r="Z33" s="6" t="s">
        <v>45</v>
      </c>
      <c r="AA33" s="6" t="s">
        <v>46</v>
      </c>
      <c r="AB33" s="7">
        <v>271709</v>
      </c>
      <c r="AC33" s="7">
        <v>271789</v>
      </c>
      <c r="AD33" s="17"/>
      <c r="AE33" s="17">
        <f t="shared" si="0"/>
        <v>80</v>
      </c>
      <c r="AF33" s="18">
        <f t="shared" si="1"/>
        <v>5.6944444444444353E-2</v>
      </c>
    </row>
    <row r="34" spans="1:32" ht="90" x14ac:dyDescent="0.25">
      <c r="A34" s="4">
        <v>46297</v>
      </c>
      <c r="B34" s="5">
        <v>0.6694444444444444</v>
      </c>
      <c r="C34" s="6" t="s">
        <v>77</v>
      </c>
      <c r="D34" s="6">
        <v>3</v>
      </c>
      <c r="E34" s="7" t="s">
        <v>212</v>
      </c>
      <c r="F34" s="8" t="s">
        <v>54</v>
      </c>
      <c r="G34" s="9" t="s">
        <v>213</v>
      </c>
      <c r="H34" s="10" t="s">
        <v>214</v>
      </c>
      <c r="I34" s="6" t="s">
        <v>37</v>
      </c>
      <c r="J34" s="10" t="s">
        <v>215</v>
      </c>
      <c r="K34" s="10" t="s">
        <v>185</v>
      </c>
      <c r="L34" s="6">
        <v>1</v>
      </c>
      <c r="M34" s="6" t="s">
        <v>59</v>
      </c>
      <c r="N34" s="11">
        <v>0</v>
      </c>
      <c r="O34" s="11">
        <v>1</v>
      </c>
      <c r="P34" s="6" t="s">
        <v>41</v>
      </c>
      <c r="Q34" s="11">
        <v>1</v>
      </c>
      <c r="R34" s="11">
        <v>0</v>
      </c>
      <c r="S34" s="11">
        <v>0</v>
      </c>
      <c r="T34" s="12" t="s">
        <v>186</v>
      </c>
      <c r="U34" s="13">
        <v>0.67500000000000004</v>
      </c>
      <c r="V34" s="13">
        <v>0.70208333333333328</v>
      </c>
      <c r="W34" s="13">
        <v>0.71111111111111114</v>
      </c>
      <c r="X34" s="10" t="s">
        <v>216</v>
      </c>
      <c r="Y34" s="7" t="s">
        <v>217</v>
      </c>
      <c r="Z34" s="6" t="s">
        <v>45</v>
      </c>
      <c r="AA34" s="6" t="s">
        <v>218</v>
      </c>
      <c r="AB34" s="7">
        <v>393442</v>
      </c>
      <c r="AC34" s="7">
        <v>393449</v>
      </c>
      <c r="AD34" s="14"/>
      <c r="AE34" s="14">
        <f t="shared" si="0"/>
        <v>7</v>
      </c>
      <c r="AF34" s="15">
        <f t="shared" si="1"/>
        <v>3.6111111111111094E-2</v>
      </c>
    </row>
    <row r="35" spans="1:32" ht="90" x14ac:dyDescent="0.25">
      <c r="A35" s="4">
        <v>46297</v>
      </c>
      <c r="B35" s="5">
        <v>0.47222222222222221</v>
      </c>
      <c r="C35" s="6" t="s">
        <v>77</v>
      </c>
      <c r="D35" s="6">
        <v>2</v>
      </c>
      <c r="E35" s="7" t="s">
        <v>219</v>
      </c>
      <c r="F35" s="8" t="s">
        <v>34</v>
      </c>
      <c r="G35" s="9" t="s">
        <v>55</v>
      </c>
      <c r="H35" s="10" t="s">
        <v>56</v>
      </c>
      <c r="I35" s="6" t="s">
        <v>37</v>
      </c>
      <c r="J35" s="10" t="s">
        <v>220</v>
      </c>
      <c r="K35" s="10" t="s">
        <v>58</v>
      </c>
      <c r="L35" s="6">
        <v>1</v>
      </c>
      <c r="M35" s="6" t="s">
        <v>40</v>
      </c>
      <c r="N35" s="16">
        <v>1</v>
      </c>
      <c r="O35" s="16">
        <v>0</v>
      </c>
      <c r="P35" s="6" t="s">
        <v>41</v>
      </c>
      <c r="Q35" s="16">
        <v>1</v>
      </c>
      <c r="R35" s="16">
        <v>0</v>
      </c>
      <c r="S35" s="16">
        <v>0</v>
      </c>
      <c r="T35" s="12" t="s">
        <v>192</v>
      </c>
      <c r="U35" s="13">
        <v>0.49583333333333335</v>
      </c>
      <c r="V35" s="13">
        <v>0.54652777777777772</v>
      </c>
      <c r="W35" s="13">
        <v>0.5625</v>
      </c>
      <c r="X35" s="10" t="s">
        <v>221</v>
      </c>
      <c r="Y35" s="7" t="s">
        <v>62</v>
      </c>
      <c r="Z35" s="6" t="s">
        <v>45</v>
      </c>
      <c r="AA35" s="6" t="s">
        <v>46</v>
      </c>
      <c r="AB35" s="7">
        <v>271628</v>
      </c>
      <c r="AC35" s="7">
        <v>271709</v>
      </c>
      <c r="AD35" s="17"/>
      <c r="AE35" s="17">
        <f t="shared" si="0"/>
        <v>81</v>
      </c>
      <c r="AF35" s="18">
        <f t="shared" si="1"/>
        <v>6.6666666666666652E-2</v>
      </c>
    </row>
    <row r="36" spans="1:32" ht="90" x14ac:dyDescent="0.25">
      <c r="A36" s="4">
        <v>46297</v>
      </c>
      <c r="B36" s="5">
        <v>0.34375</v>
      </c>
      <c r="C36" s="6" t="s">
        <v>77</v>
      </c>
      <c r="D36" s="6">
        <v>2</v>
      </c>
      <c r="E36" s="7" t="s">
        <v>222</v>
      </c>
      <c r="F36" s="8" t="s">
        <v>34</v>
      </c>
      <c r="G36" s="9" t="s">
        <v>223</v>
      </c>
      <c r="H36" s="10" t="s">
        <v>224</v>
      </c>
      <c r="I36" s="6" t="s">
        <v>37</v>
      </c>
      <c r="J36" s="10" t="s">
        <v>225</v>
      </c>
      <c r="K36" s="10" t="s">
        <v>39</v>
      </c>
      <c r="L36" s="6">
        <v>1</v>
      </c>
      <c r="M36" s="6" t="s">
        <v>40</v>
      </c>
      <c r="N36" s="11">
        <v>1</v>
      </c>
      <c r="O36" s="11">
        <v>0</v>
      </c>
      <c r="P36" s="6" t="s">
        <v>41</v>
      </c>
      <c r="Q36" s="11">
        <v>1</v>
      </c>
      <c r="R36" s="11">
        <v>0</v>
      </c>
      <c r="S36" s="11">
        <v>0</v>
      </c>
      <c r="T36" s="12" t="s">
        <v>192</v>
      </c>
      <c r="U36" s="13">
        <v>0.3527777777777778</v>
      </c>
      <c r="V36" s="13">
        <v>0.37222222222222223</v>
      </c>
      <c r="W36" s="13">
        <v>0.38194444444444442</v>
      </c>
      <c r="X36" s="10" t="s">
        <v>226</v>
      </c>
      <c r="Y36" s="7" t="s">
        <v>227</v>
      </c>
      <c r="Z36" s="6" t="s">
        <v>45</v>
      </c>
      <c r="AA36" s="6" t="s">
        <v>199</v>
      </c>
      <c r="AB36" s="7">
        <v>271606</v>
      </c>
      <c r="AC36" s="7">
        <v>271628</v>
      </c>
      <c r="AD36" s="14"/>
      <c r="AE36" s="14">
        <f t="shared" si="0"/>
        <v>22</v>
      </c>
      <c r="AF36" s="15">
        <f t="shared" si="1"/>
        <v>2.9166666666666619E-2</v>
      </c>
    </row>
    <row r="37" spans="1:32" ht="90" x14ac:dyDescent="0.25">
      <c r="A37" s="4">
        <v>46296</v>
      </c>
      <c r="B37" s="5">
        <v>0.88749999999999996</v>
      </c>
      <c r="C37" s="6" t="s">
        <v>32</v>
      </c>
      <c r="D37" s="6">
        <v>3</v>
      </c>
      <c r="E37" s="7" t="s">
        <v>228</v>
      </c>
      <c r="F37" s="8" t="s">
        <v>34</v>
      </c>
      <c r="G37" s="9" t="s">
        <v>55</v>
      </c>
      <c r="H37" s="10" t="s">
        <v>56</v>
      </c>
      <c r="I37" s="6" t="s">
        <v>37</v>
      </c>
      <c r="J37" s="10" t="s">
        <v>229</v>
      </c>
      <c r="K37" s="10" t="s">
        <v>39</v>
      </c>
      <c r="L37" s="6">
        <v>1</v>
      </c>
      <c r="M37" s="6" t="s">
        <v>40</v>
      </c>
      <c r="N37" s="16">
        <v>1</v>
      </c>
      <c r="O37" s="16">
        <v>0</v>
      </c>
      <c r="P37" s="6" t="s">
        <v>41</v>
      </c>
      <c r="Q37" s="16">
        <v>1</v>
      </c>
      <c r="R37" s="16">
        <v>0</v>
      </c>
      <c r="S37" s="16">
        <v>0</v>
      </c>
      <c r="T37" s="12" t="s">
        <v>192</v>
      </c>
      <c r="U37" s="13">
        <v>0.91319444444444442</v>
      </c>
      <c r="V37" s="13">
        <v>0.95833333333333337</v>
      </c>
      <c r="W37" s="13">
        <v>0.97222222222222221</v>
      </c>
      <c r="X37" s="10" t="s">
        <v>230</v>
      </c>
      <c r="Y37" s="7" t="s">
        <v>62</v>
      </c>
      <c r="Z37" s="6" t="s">
        <v>45</v>
      </c>
      <c r="AA37" s="6" t="s">
        <v>46</v>
      </c>
      <c r="AB37" s="7">
        <v>271525</v>
      </c>
      <c r="AC37" s="7">
        <v>271606</v>
      </c>
      <c r="AD37" s="17"/>
      <c r="AE37" s="17">
        <f t="shared" si="0"/>
        <v>81</v>
      </c>
      <c r="AF37" s="18">
        <f t="shared" si="1"/>
        <v>5.902777777777779E-2</v>
      </c>
    </row>
    <row r="38" spans="1:32" ht="90" x14ac:dyDescent="0.25">
      <c r="A38" s="4">
        <v>46296</v>
      </c>
      <c r="B38" s="5">
        <v>0.79722222222222228</v>
      </c>
      <c r="C38" s="6" t="s">
        <v>32</v>
      </c>
      <c r="D38" s="6">
        <v>3</v>
      </c>
      <c r="E38" s="7" t="s">
        <v>231</v>
      </c>
      <c r="F38" s="8" t="s">
        <v>34</v>
      </c>
      <c r="G38" s="9" t="s">
        <v>232</v>
      </c>
      <c r="H38" s="10" t="s">
        <v>233</v>
      </c>
      <c r="I38" s="6" t="s">
        <v>37</v>
      </c>
      <c r="J38" s="10" t="s">
        <v>234</v>
      </c>
      <c r="K38" s="10" t="s">
        <v>39</v>
      </c>
      <c r="L38" s="6">
        <v>1</v>
      </c>
      <c r="M38" s="6" t="s">
        <v>40</v>
      </c>
      <c r="N38" s="11">
        <v>1</v>
      </c>
      <c r="O38" s="11">
        <v>0</v>
      </c>
      <c r="P38" s="6" t="s">
        <v>41</v>
      </c>
      <c r="Q38" s="11">
        <v>1</v>
      </c>
      <c r="R38" s="11">
        <v>0</v>
      </c>
      <c r="S38" s="11">
        <v>0</v>
      </c>
      <c r="T38" s="12" t="s">
        <v>192</v>
      </c>
      <c r="U38" s="13">
        <v>0.80347222222222225</v>
      </c>
      <c r="V38" s="13">
        <v>0.82222222222222219</v>
      </c>
      <c r="W38" s="13">
        <v>0.83125000000000004</v>
      </c>
      <c r="X38" s="10" t="s">
        <v>235</v>
      </c>
      <c r="Y38" s="7" t="s">
        <v>236</v>
      </c>
      <c r="Z38" s="6" t="s">
        <v>45</v>
      </c>
      <c r="AA38" s="6" t="s">
        <v>46</v>
      </c>
      <c r="AB38" s="7">
        <v>271505</v>
      </c>
      <c r="AC38" s="7">
        <v>271525</v>
      </c>
      <c r="AD38" s="14"/>
      <c r="AE38" s="14">
        <f t="shared" si="0"/>
        <v>20</v>
      </c>
      <c r="AF38" s="15">
        <f t="shared" si="1"/>
        <v>2.777777777777779E-2</v>
      </c>
    </row>
    <row r="39" spans="1:32" ht="90" x14ac:dyDescent="0.25">
      <c r="A39" s="4">
        <v>46296</v>
      </c>
      <c r="B39" s="5">
        <v>0.71666666666666667</v>
      </c>
      <c r="C39" s="6" t="s">
        <v>32</v>
      </c>
      <c r="D39" s="6">
        <v>3</v>
      </c>
      <c r="E39" s="7" t="s">
        <v>237</v>
      </c>
      <c r="F39" s="8" t="s">
        <v>34</v>
      </c>
      <c r="G39" s="9" t="s">
        <v>55</v>
      </c>
      <c r="H39" s="10" t="s">
        <v>56</v>
      </c>
      <c r="I39" s="6" t="s">
        <v>37</v>
      </c>
      <c r="J39" s="10" t="s">
        <v>238</v>
      </c>
      <c r="K39" s="10" t="s">
        <v>39</v>
      </c>
      <c r="L39" s="6">
        <v>1</v>
      </c>
      <c r="M39" s="6" t="s">
        <v>40</v>
      </c>
      <c r="N39" s="16">
        <v>1</v>
      </c>
      <c r="O39" s="16">
        <v>0</v>
      </c>
      <c r="P39" s="6" t="s">
        <v>41</v>
      </c>
      <c r="Q39" s="16">
        <v>1</v>
      </c>
      <c r="R39" s="16">
        <v>0</v>
      </c>
      <c r="S39" s="16">
        <v>0</v>
      </c>
      <c r="T39" s="12" t="s">
        <v>192</v>
      </c>
      <c r="U39" s="13">
        <v>0.74097222222222225</v>
      </c>
      <c r="V39" s="13">
        <v>0.78333333333333333</v>
      </c>
      <c r="W39" s="13">
        <v>0.79513888888888884</v>
      </c>
      <c r="X39" s="10" t="s">
        <v>239</v>
      </c>
      <c r="Y39" s="7" t="s">
        <v>62</v>
      </c>
      <c r="Z39" s="6" t="s">
        <v>45</v>
      </c>
      <c r="AA39" s="6" t="s">
        <v>46</v>
      </c>
      <c r="AB39" s="7">
        <v>271425</v>
      </c>
      <c r="AC39" s="7">
        <v>271505</v>
      </c>
      <c r="AD39" s="17"/>
      <c r="AE39" s="17">
        <f t="shared" si="0"/>
        <v>80</v>
      </c>
      <c r="AF39" s="18">
        <f t="shared" si="1"/>
        <v>5.4166666666666585E-2</v>
      </c>
    </row>
    <row r="40" spans="1:32" ht="60" x14ac:dyDescent="0.25">
      <c r="A40" s="4">
        <v>46296</v>
      </c>
      <c r="B40" s="5">
        <v>0.61736111111111114</v>
      </c>
      <c r="C40" s="6" t="s">
        <v>77</v>
      </c>
      <c r="D40" s="6">
        <v>2</v>
      </c>
      <c r="E40" s="7" t="s">
        <v>240</v>
      </c>
      <c r="F40" s="8" t="s">
        <v>34</v>
      </c>
      <c r="G40" s="9" t="s">
        <v>87</v>
      </c>
      <c r="H40" s="10" t="s">
        <v>88</v>
      </c>
      <c r="I40" s="6" t="s">
        <v>37</v>
      </c>
      <c r="J40" s="10" t="s">
        <v>241</v>
      </c>
      <c r="K40" s="10" t="s">
        <v>128</v>
      </c>
      <c r="L40" s="6">
        <v>1</v>
      </c>
      <c r="M40" s="6" t="s">
        <v>40</v>
      </c>
      <c r="N40" s="11">
        <v>1</v>
      </c>
      <c r="O40" s="11">
        <v>0</v>
      </c>
      <c r="P40" s="6" t="s">
        <v>41</v>
      </c>
      <c r="Q40" s="11">
        <v>1</v>
      </c>
      <c r="R40" s="11">
        <v>0</v>
      </c>
      <c r="S40" s="11">
        <v>0</v>
      </c>
      <c r="T40" s="12" t="s">
        <v>192</v>
      </c>
      <c r="U40" s="13">
        <v>0.63194444444444442</v>
      </c>
      <c r="V40" s="13">
        <v>0.64861111111111114</v>
      </c>
      <c r="W40" s="13">
        <v>0.67152777777777772</v>
      </c>
      <c r="X40" s="10" t="s">
        <v>242</v>
      </c>
      <c r="Y40" s="7" t="s">
        <v>243</v>
      </c>
      <c r="Z40" s="6" t="s">
        <v>45</v>
      </c>
      <c r="AA40" s="6" t="s">
        <v>199</v>
      </c>
      <c r="AB40" s="7">
        <v>271389</v>
      </c>
      <c r="AC40" s="7">
        <v>271425</v>
      </c>
      <c r="AD40" s="14"/>
      <c r="AE40" s="14">
        <f t="shared" si="0"/>
        <v>36</v>
      </c>
      <c r="AF40" s="15">
        <f t="shared" si="1"/>
        <v>3.9583333333333304E-2</v>
      </c>
    </row>
    <row r="41" spans="1:32" ht="90" x14ac:dyDescent="0.25">
      <c r="A41" s="4">
        <v>46296</v>
      </c>
      <c r="B41" s="5">
        <v>0.49861111111111112</v>
      </c>
      <c r="C41" s="6" t="s">
        <v>77</v>
      </c>
      <c r="D41" s="6">
        <v>2</v>
      </c>
      <c r="E41" s="7" t="s">
        <v>244</v>
      </c>
      <c r="F41" s="8" t="s">
        <v>34</v>
      </c>
      <c r="G41" s="9" t="s">
        <v>80</v>
      </c>
      <c r="H41" s="10" t="s">
        <v>81</v>
      </c>
      <c r="I41" s="6" t="s">
        <v>82</v>
      </c>
      <c r="J41" s="10" t="s">
        <v>245</v>
      </c>
      <c r="K41" s="10" t="s">
        <v>157</v>
      </c>
      <c r="L41" s="6">
        <v>1</v>
      </c>
      <c r="M41" s="6" t="s">
        <v>40</v>
      </c>
      <c r="N41" s="16">
        <v>1</v>
      </c>
      <c r="O41" s="16">
        <v>0</v>
      </c>
      <c r="P41" s="6" t="s">
        <v>41</v>
      </c>
      <c r="Q41" s="16">
        <v>1</v>
      </c>
      <c r="R41" s="16">
        <v>0</v>
      </c>
      <c r="S41" s="16">
        <v>0</v>
      </c>
      <c r="T41" s="12" t="s">
        <v>192</v>
      </c>
      <c r="U41" s="13">
        <v>0.51736111111111116</v>
      </c>
      <c r="V41" s="13">
        <v>0.52916666666666667</v>
      </c>
      <c r="W41" s="13">
        <v>0.55555555555555558</v>
      </c>
      <c r="X41" s="10" t="s">
        <v>246</v>
      </c>
      <c r="Y41" s="7" t="s">
        <v>247</v>
      </c>
      <c r="Z41" s="6" t="s">
        <v>45</v>
      </c>
      <c r="AA41" s="6" t="s">
        <v>199</v>
      </c>
      <c r="AB41" s="7">
        <v>271332</v>
      </c>
      <c r="AC41" s="7">
        <v>271389</v>
      </c>
      <c r="AD41" s="17"/>
      <c r="AE41" s="17">
        <f t="shared" si="0"/>
        <v>57</v>
      </c>
      <c r="AF41" s="18">
        <f t="shared" si="1"/>
        <v>3.819444444444442E-2</v>
      </c>
    </row>
    <row r="42" spans="1:32" ht="90" x14ac:dyDescent="0.25">
      <c r="A42" s="4">
        <v>46296</v>
      </c>
      <c r="B42" s="5">
        <v>0.41249999999999998</v>
      </c>
      <c r="C42" s="6" t="s">
        <v>77</v>
      </c>
      <c r="D42" s="6">
        <v>2</v>
      </c>
      <c r="E42" s="7" t="s">
        <v>248</v>
      </c>
      <c r="F42" s="8" t="s">
        <v>34</v>
      </c>
      <c r="G42" s="9" t="s">
        <v>55</v>
      </c>
      <c r="H42" s="10" t="s">
        <v>56</v>
      </c>
      <c r="I42" s="6" t="s">
        <v>37</v>
      </c>
      <c r="J42" s="10" t="s">
        <v>249</v>
      </c>
      <c r="K42" s="10" t="s">
        <v>67</v>
      </c>
      <c r="L42" s="6">
        <v>1</v>
      </c>
      <c r="M42" s="6" t="s">
        <v>40</v>
      </c>
      <c r="N42" s="11">
        <v>1</v>
      </c>
      <c r="O42" s="11">
        <v>0</v>
      </c>
      <c r="P42" s="6" t="s">
        <v>41</v>
      </c>
      <c r="Q42" s="11">
        <v>1</v>
      </c>
      <c r="R42" s="11">
        <v>0</v>
      </c>
      <c r="S42" s="11">
        <v>0</v>
      </c>
      <c r="T42" s="12" t="s">
        <v>192</v>
      </c>
      <c r="U42" s="13">
        <v>0.43888888888888888</v>
      </c>
      <c r="V42" s="13">
        <v>0.48749999999999999</v>
      </c>
      <c r="W42" s="13">
        <v>0.49722222222222223</v>
      </c>
      <c r="X42" s="10" t="s">
        <v>250</v>
      </c>
      <c r="Y42" s="7" t="s">
        <v>251</v>
      </c>
      <c r="Z42" s="6" t="s">
        <v>45</v>
      </c>
      <c r="AA42" s="6" t="s">
        <v>46</v>
      </c>
      <c r="AB42" s="7">
        <v>271250</v>
      </c>
      <c r="AC42" s="7">
        <v>271332</v>
      </c>
      <c r="AD42" s="14"/>
      <c r="AE42" s="14">
        <f t="shared" si="0"/>
        <v>82</v>
      </c>
      <c r="AF42" s="15">
        <f t="shared" si="1"/>
        <v>5.8333333333333348E-2</v>
      </c>
    </row>
    <row r="43" spans="1:32" ht="90" x14ac:dyDescent="0.25">
      <c r="A43" s="4">
        <v>46296</v>
      </c>
      <c r="B43" s="5">
        <v>0.35694444444444445</v>
      </c>
      <c r="C43" s="6" t="s">
        <v>77</v>
      </c>
      <c r="D43" s="6">
        <v>2</v>
      </c>
      <c r="E43" s="7" t="s">
        <v>252</v>
      </c>
      <c r="F43" s="8" t="s">
        <v>34</v>
      </c>
      <c r="G43" s="9" t="s">
        <v>110</v>
      </c>
      <c r="H43" s="10" t="s">
        <v>111</v>
      </c>
      <c r="I43" s="6" t="s">
        <v>37</v>
      </c>
      <c r="J43" s="10" t="s">
        <v>253</v>
      </c>
      <c r="K43" s="10" t="s">
        <v>58</v>
      </c>
      <c r="L43" s="6">
        <v>1</v>
      </c>
      <c r="M43" s="6" t="s">
        <v>40</v>
      </c>
      <c r="N43" s="16">
        <v>1</v>
      </c>
      <c r="O43" s="16">
        <v>0</v>
      </c>
      <c r="P43" s="6" t="s">
        <v>41</v>
      </c>
      <c r="Q43" s="16">
        <v>1</v>
      </c>
      <c r="R43" s="16">
        <v>0</v>
      </c>
      <c r="S43" s="16">
        <v>0</v>
      </c>
      <c r="T43" s="12" t="s">
        <v>192</v>
      </c>
      <c r="U43" s="13">
        <v>0.36041666666666666</v>
      </c>
      <c r="V43" s="13">
        <v>0.38958333333333334</v>
      </c>
      <c r="W43" s="13">
        <v>0.41180555555555554</v>
      </c>
      <c r="X43" s="10" t="s">
        <v>254</v>
      </c>
      <c r="Y43" s="7" t="s">
        <v>255</v>
      </c>
      <c r="Z43" s="6" t="s">
        <v>45</v>
      </c>
      <c r="AA43" s="6" t="s">
        <v>46</v>
      </c>
      <c r="AB43" s="7">
        <v>271227</v>
      </c>
      <c r="AC43" s="7">
        <v>271250</v>
      </c>
      <c r="AD43" s="17"/>
      <c r="AE43" s="17">
        <f t="shared" si="0"/>
        <v>23</v>
      </c>
      <c r="AF43" s="18">
        <f t="shared" si="1"/>
        <v>5.1388888888888873E-2</v>
      </c>
    </row>
    <row r="44" spans="1:32" ht="90" x14ac:dyDescent="0.25">
      <c r="A44" s="4">
        <v>46296</v>
      </c>
      <c r="B44" s="5">
        <v>1.1527777777777777</v>
      </c>
      <c r="C44" s="6" t="s">
        <v>32</v>
      </c>
      <c r="D44" s="6">
        <v>1</v>
      </c>
      <c r="E44" s="7" t="s">
        <v>256</v>
      </c>
      <c r="F44" s="8" t="s">
        <v>54</v>
      </c>
      <c r="G44" s="9" t="s">
        <v>161</v>
      </c>
      <c r="H44" s="10" t="s">
        <v>162</v>
      </c>
      <c r="I44" s="6" t="s">
        <v>37</v>
      </c>
      <c r="J44" s="10" t="s">
        <v>257</v>
      </c>
      <c r="K44" s="10" t="s">
        <v>185</v>
      </c>
      <c r="L44" s="6">
        <v>1</v>
      </c>
      <c r="M44" s="6" t="s">
        <v>59</v>
      </c>
      <c r="N44" s="11">
        <v>0</v>
      </c>
      <c r="O44" s="11">
        <v>1</v>
      </c>
      <c r="P44" s="6" t="s">
        <v>41</v>
      </c>
      <c r="Q44" s="11">
        <v>1</v>
      </c>
      <c r="R44" s="11">
        <v>0</v>
      </c>
      <c r="S44" s="11">
        <v>0</v>
      </c>
      <c r="T44" s="12" t="s">
        <v>186</v>
      </c>
      <c r="U44" s="13">
        <v>1.1979166666666667</v>
      </c>
      <c r="V44" s="13">
        <v>1.2458333333333333</v>
      </c>
      <c r="W44" s="13">
        <v>1.2569444444444444</v>
      </c>
      <c r="X44" s="10" t="s">
        <v>258</v>
      </c>
      <c r="Y44" s="7" t="s">
        <v>259</v>
      </c>
      <c r="Z44" s="6" t="s">
        <v>45</v>
      </c>
      <c r="AA44" s="6" t="s">
        <v>46</v>
      </c>
      <c r="AB44" s="7">
        <v>393369</v>
      </c>
      <c r="AC44" s="7">
        <v>393442</v>
      </c>
      <c r="AD44" s="14"/>
      <c r="AE44" s="14">
        <f t="shared" si="0"/>
        <v>73</v>
      </c>
      <c r="AF44" s="15">
        <f>W44-U44</f>
        <v>5.9027777777777679E-2</v>
      </c>
    </row>
  </sheetData>
  <dataValidations count="52">
    <dataValidation type="list" allowBlank="1" showInputMessage="1" showErrorMessage="1" sqref="G2" xr:uid="{37BE594D-AAE5-4B2E-B201-513AC954D6ED}">
      <formula1>$L$2:$L$82</formula1>
    </dataValidation>
    <dataValidation type="list" allowBlank="1" showInputMessage="1" showErrorMessage="1" sqref="G3" xr:uid="{2A170937-43CB-442D-8759-EF697300CF07}">
      <formula1>$L$3:$L$83</formula1>
    </dataValidation>
    <dataValidation type="list" allowBlank="1" showInputMessage="1" showErrorMessage="1" sqref="G4" xr:uid="{D0D55084-2C1F-477D-A46E-5D119452C8E6}">
      <formula1>$L$4:$L$84</formula1>
    </dataValidation>
    <dataValidation type="list" allowBlank="1" showInputMessage="1" showErrorMessage="1" sqref="G5" xr:uid="{2E111917-F513-4C9A-BF0C-DE93255FC8FE}">
      <formula1>$L$5:$L$85</formula1>
    </dataValidation>
    <dataValidation type="list" allowBlank="1" showInputMessage="1" showErrorMessage="1" sqref="G6" xr:uid="{24EA32A7-00B5-4663-BDA8-B27830E68370}">
      <formula1>$L$6:$L$86</formula1>
    </dataValidation>
    <dataValidation type="list" allowBlank="1" showInputMessage="1" showErrorMessage="1" sqref="G7" xr:uid="{752F32E2-C990-4C72-BCE7-8133B48225C5}">
      <formula1>$L$7:$L$87</formula1>
    </dataValidation>
    <dataValidation type="list" allowBlank="1" showInputMessage="1" showErrorMessage="1" sqref="G8" xr:uid="{052D50A4-8C25-475B-B8C3-3A8C1AD7B6CA}">
      <formula1>$L$8:$L$88</formula1>
    </dataValidation>
    <dataValidation type="list" allowBlank="1" showInputMessage="1" showErrorMessage="1" sqref="G9" xr:uid="{251398D0-ABCE-4978-9E8A-62BD7ED0F8D6}">
      <formula1>$L$9:$L$89</formula1>
    </dataValidation>
    <dataValidation type="list" allowBlank="1" showInputMessage="1" showErrorMessage="1" sqref="G10" xr:uid="{419070BB-9E69-40BE-B17A-F117DAF8D4CD}">
      <formula1>$L$10:$L$90</formula1>
    </dataValidation>
    <dataValidation type="list" allowBlank="1" showInputMessage="1" showErrorMessage="1" sqref="G11" xr:uid="{19F271A8-943E-449F-A301-782ED535E91D}">
      <formula1>$L$11:$L$91</formula1>
    </dataValidation>
    <dataValidation type="list" allowBlank="1" showInputMessage="1" showErrorMessage="1" sqref="G12" xr:uid="{FCCB2BC1-C532-4644-B864-1AA0E1E1D306}">
      <formula1>$L$12:$L$92</formula1>
    </dataValidation>
    <dataValidation type="list" allowBlank="1" showInputMessage="1" showErrorMessage="1" sqref="G13" xr:uid="{4D115D06-8B80-4576-A7D3-A0DDC9F92F3B}">
      <formula1>$L$13:$L$93</formula1>
    </dataValidation>
    <dataValidation type="list" allowBlank="1" showInputMessage="1" showErrorMessage="1" sqref="G14" xr:uid="{8D82ABFC-64A0-49CB-9BE6-FF23670B433E}">
      <formula1>$L$14:$L$94</formula1>
    </dataValidation>
    <dataValidation type="list" allowBlank="1" showInputMessage="1" showErrorMessage="1" sqref="G15" xr:uid="{793F3267-EF03-492C-8149-66F75F485840}">
      <formula1>$L$15:$L$95</formula1>
    </dataValidation>
    <dataValidation type="list" allowBlank="1" showInputMessage="1" showErrorMessage="1" sqref="G16" xr:uid="{82893412-BDB1-47A1-A2AE-B91ED9019682}">
      <formula1>$L$16:$L$96</formula1>
    </dataValidation>
    <dataValidation type="list" allowBlank="1" showInputMessage="1" showErrorMessage="1" sqref="G17" xr:uid="{039F66EC-336C-4B19-B516-2CF7BDD06EB3}">
      <formula1>$L$17:$L$97</formula1>
    </dataValidation>
    <dataValidation type="list" allowBlank="1" showInputMessage="1" showErrorMessage="1" sqref="G18" xr:uid="{429CF7B9-1F38-4DAC-8EC1-D9ADDE1B6C0E}">
      <formula1>$L$18:$L$98</formula1>
    </dataValidation>
    <dataValidation type="list" allowBlank="1" showInputMessage="1" showErrorMessage="1" sqref="G19" xr:uid="{BF340397-80F9-44A8-9D32-6E359F0397CA}">
      <formula1>$L$19:$L$99</formula1>
    </dataValidation>
    <dataValidation type="list" allowBlank="1" showInputMessage="1" showErrorMessage="1" sqref="G20" xr:uid="{A0C1175A-BA36-4B9E-8B02-33B37F632928}">
      <formula1>$L$20:$L$100</formula1>
    </dataValidation>
    <dataValidation type="list" allowBlank="1" showInputMessage="1" showErrorMessage="1" sqref="G21" xr:uid="{BD9D439A-2F0A-40A6-AE8C-1F84A24A6DB8}">
      <formula1>$L$21:$L$101</formula1>
    </dataValidation>
    <dataValidation type="list" allowBlank="1" showInputMessage="1" showErrorMessage="1" sqref="G22" xr:uid="{528433FC-7C04-4462-92CC-B9E323402415}">
      <formula1>$L$22:$L$102</formula1>
    </dataValidation>
    <dataValidation type="list" allowBlank="1" showInputMessage="1" showErrorMessage="1" sqref="G23" xr:uid="{A27812E6-5871-4DF3-AE73-D7C245E0A094}">
      <formula1>$L$23:$L$103</formula1>
    </dataValidation>
    <dataValidation type="list" allowBlank="1" showInputMessage="1" showErrorMessage="1" sqref="G24" xr:uid="{A2B26C2D-AFC7-49C3-82EE-2B980E51523D}">
      <formula1>$L$24:$L$104</formula1>
    </dataValidation>
    <dataValidation type="list" allowBlank="1" showInputMessage="1" showErrorMessage="1" sqref="G25" xr:uid="{18779413-1D06-4BEE-A20E-AD450C0666A8}">
      <formula1>$L$25:$L$105</formula1>
    </dataValidation>
    <dataValidation type="list" allowBlank="1" showInputMessage="1" showErrorMessage="1" sqref="G26" xr:uid="{A3EBEBD2-E201-4EDB-8940-FE3BE7F1EDC5}">
      <formula1>$L$26:$L$106</formula1>
    </dataValidation>
    <dataValidation type="list" allowBlank="1" showInputMessage="1" showErrorMessage="1" sqref="G27" xr:uid="{0F6CC2E8-1357-436D-9CAA-E2C066F5DA62}">
      <formula1>$L$27:$L$107</formula1>
    </dataValidation>
    <dataValidation type="list" allowBlank="1" showInputMessage="1" showErrorMessage="1" sqref="G28" xr:uid="{AD7C9DD5-EC2D-4A1D-B86D-4D26C53288CA}">
      <formula1>$L$28:$L$108</formula1>
    </dataValidation>
    <dataValidation type="list" allowBlank="1" showInputMessage="1" showErrorMessage="1" sqref="G29" xr:uid="{D22D8A14-40C7-4644-9612-047C5F86F7E5}">
      <formula1>$L$29:$L$107</formula1>
    </dataValidation>
    <dataValidation type="list" allowBlank="1" showInputMessage="1" showErrorMessage="1" sqref="G30" xr:uid="{3BDDE27B-373B-4021-80F9-FAEA9377DB35}">
      <formula1>$L$30:$L$108</formula1>
    </dataValidation>
    <dataValidation type="list" allowBlank="1" showInputMessage="1" showErrorMessage="1" sqref="G31" xr:uid="{0FAA3225-4D46-479E-AB02-EDFD086D8A2F}">
      <formula1>$L$31:$L$109</formula1>
    </dataValidation>
    <dataValidation type="list" allowBlank="1" showInputMessage="1" showErrorMessage="1" sqref="G32" xr:uid="{066A413B-8D8D-4190-9038-37661334C60B}">
      <formula1>$L$32:$L$110</formula1>
    </dataValidation>
    <dataValidation type="list" allowBlank="1" showInputMessage="1" showErrorMessage="1" sqref="G33" xr:uid="{DD205EC7-F022-46E2-B910-D547E2E0B0FD}">
      <formula1>$L$33:$L$111</formula1>
    </dataValidation>
    <dataValidation type="list" allowBlank="1" showInputMessage="1" showErrorMessage="1" sqref="C2:C44" xr:uid="{E723B026-28C3-4AEC-B372-01F61E478A1E}">
      <formula1>",PATRICIO VEGA,PABLO ESTRADA,GLORIA VERDEZOTO,ANDRE MORENO"</formula1>
    </dataValidation>
    <dataValidation type="list" allowBlank="1" showInputMessage="1" showErrorMessage="1" sqref="T2:T44" xr:uid="{FC5A0395-DC5D-4634-A232-0D338D4C0F30}">
      <formula1>",JHONATAN LEMA,DARWIN PACHECO,JUAN CAIZA, JOSE PILICITA"</formula1>
    </dataValidation>
    <dataValidation type="list" allowBlank="1" showInputMessage="1" showErrorMessage="1" sqref="Z2:Z44" xr:uid="{B83B85CE-667E-4679-96C2-36B493D88830}">
      <formula1>"Atropello, Caida de Vehículo en Movimiento, Colisión/Choque, Volcamiento, Encunetado,Perdida de Pista, Incidente en moto, Otros"</formula1>
    </dataValidation>
    <dataValidation type="list" allowBlank="1" showInputMessage="1" showErrorMessage="1" sqref="D2:D44" xr:uid="{48D86D96-42C3-48B9-A870-BB18CAF252C5}">
      <formula1>"1,2,3"</formula1>
    </dataValidation>
    <dataValidation type="list" allowBlank="1" showInputMessage="1" showErrorMessage="1" sqref="P2:P44" xr:uid="{F0EB0AAC-BEDE-4041-AB09-FA98ADFD4C8D}">
      <formula1>"LEVE,GRAVE,FATAL"</formula1>
    </dataValidation>
    <dataValidation type="list" allowBlank="1" showInputMessage="1" showErrorMessage="1" sqref="M2:M44" xr:uid="{246F2E0E-877D-485E-83B2-C84BDE1FAADE}">
      <formula1>"PEQUEÑA,GRANDE"</formula1>
    </dataValidation>
    <dataValidation type="list" allowBlank="1" showInputMessage="1" showErrorMessage="1" sqref="I2:I44" xr:uid="{1BD78FB4-49B3-4DC6-8382-13A27617A26A}">
      <formula1>"ASCENDENTE,DESCENDENTE"</formula1>
    </dataValidation>
    <dataValidation type="list" allowBlank="1" showInputMessage="1" showErrorMessage="1" sqref="AA2:AA44" xr:uid="{6EDDE06F-A16C-4908-97B6-6699BE735FB1}">
      <formula1>"Asistencia en el Sitio, Falla Mecánica, Falla Eléctrica, Recalentado, Llanta baja, Perdida de Pista, Sueño por Cansancio, Exceso de Velocidad, Condición climatica, Otros"</formula1>
    </dataValidation>
    <dataValidation type="list" allowBlank="1" showInputMessage="1" showErrorMessage="1" sqref="F2:F44" xr:uid="{2C57D373-815D-4769-B8B3-16FAA403C97F}">
      <formula1>"DAÑO MECANICO(GRUA PEQUEÑA),DAÑO MECANICO(GRUA GRANDE),ACCIDENTE DE TRANSITO(GRUA PEQUEÑA),ACCIDENTE DE TRANSITO(GRUA GRANDE),CLAVE 8: ATENCION SUSPENDIDA -RETORNO A LA BASE(GRUA PEQUEÑA),CLAVE 8: ATENCION SUSPENDIDA - RETORNO A LA BASE(GRUA GRANDE)"</formula1>
    </dataValidation>
    <dataValidation type="list" allowBlank="1" showInputMessage="1" showErrorMessage="1" sqref="G34" xr:uid="{847A45EC-6EDB-47C2-ACB4-23FD1DDBEA5A}">
      <formula1>$L$34:$L$44</formula1>
    </dataValidation>
    <dataValidation type="list" allowBlank="1" showInputMessage="1" showErrorMessage="1" sqref="G35" xr:uid="{D5C27265-EEB4-4353-A150-A55AAB13B999}">
      <formula1>$L$35:$L$44</formula1>
    </dataValidation>
    <dataValidation type="list" allowBlank="1" showInputMessage="1" showErrorMessage="1" sqref="G36" xr:uid="{1787D84A-237A-4E96-85C6-7DD798676242}">
      <formula1>$L$36:$L$44</formula1>
    </dataValidation>
    <dataValidation type="list" allowBlank="1" showInputMessage="1" showErrorMessage="1" sqref="G37" xr:uid="{CA6BB05A-319F-44B6-86B4-8AE006B3FAAC}">
      <formula1>$L$37:$L$44</formula1>
    </dataValidation>
    <dataValidation type="list" allowBlank="1" showInputMessage="1" showErrorMessage="1" sqref="G38" xr:uid="{C9142D03-CBEF-4024-A75C-B97ED48EEC1B}">
      <formula1>$L$38:$L$44</formula1>
    </dataValidation>
    <dataValidation type="list" allowBlank="1" showInputMessage="1" showErrorMessage="1" sqref="G39" xr:uid="{A17F8583-C75E-4243-9287-878844B7223E}">
      <formula1>$L$39:$L$44</formula1>
    </dataValidation>
    <dataValidation type="list" allowBlank="1" showInputMessage="1" showErrorMessage="1" sqref="G40" xr:uid="{046C21FA-4F77-4A47-8363-636528B9DC5F}">
      <formula1>$L$40:$L$44</formula1>
    </dataValidation>
    <dataValidation type="list" allowBlank="1" showInputMessage="1" showErrorMessage="1" sqref="G41" xr:uid="{5D002185-BD4E-46CC-99E0-D3734E32E888}">
      <formula1>$L$41:$L$44</formula1>
    </dataValidation>
    <dataValidation type="list" allowBlank="1" showInputMessage="1" showErrorMessage="1" sqref="G42" xr:uid="{F57A2F55-7470-43F4-A110-5076A80877D0}">
      <formula1>$L$42:$L$44</formula1>
    </dataValidation>
    <dataValidation type="list" allowBlank="1" showInputMessage="1" showErrorMessage="1" sqref="G43" xr:uid="{1A438F71-E808-4974-ADB5-927B4D48CA3E}">
      <formula1>$L$43:$L$44</formula1>
    </dataValidation>
    <dataValidation type="list" allowBlank="1" showInputMessage="1" showErrorMessage="1" sqref="G44" xr:uid="{4B15EA1D-DD62-4959-ABBC-BCDC5D7A7FA4}">
      <formula1>$L$44:$L$44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PC_286</dc:creator>
  <cp:lastModifiedBy>PC_286</cp:lastModifiedBy>
  <dcterms:created xsi:type="dcterms:W3CDTF">2026-10-09T14:38:54Z</dcterms:created>
  <dcterms:modified xsi:type="dcterms:W3CDTF">2026-10-09T14:39:21Z</dcterms:modified>
</cp:coreProperties>
</file>